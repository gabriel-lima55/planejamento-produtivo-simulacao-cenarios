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<sst xmlns="http://schemas.openxmlformats.org/spreadsheetml/2006/main" count="422" uniqueCount="177">
  <si>
    <t>PLANEJAMENTO MESTRE</t>
  </si>
  <si>
    <t>3 MESES</t>
  </si>
  <si>
    <t>MÊS</t>
  </si>
  <si>
    <t>MÊS 1</t>
  </si>
  <si>
    <t>MÊS 2</t>
  </si>
  <si>
    <t>MÊS 3</t>
  </si>
  <si>
    <t>SEMANA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</si>
  <si>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</si>
  <si>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</si>
  <si>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</si>
  <si>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</si>
  <si>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</si>
  <si>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</si>
  <si>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</si>
  <si>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</si>
  <si>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</si>
  <si>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</si>
  <si>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</si>
  <si>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</si>
  <si>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DIA DE INICIO</t>
  </si>
  <si>
    <t xml:space="preserve">DEMANDA </t>
  </si>
  <si>
    <t>CROPPED</t>
  </si>
  <si>
    <t xml:space="preserve"> SAIA</t>
  </si>
  <si>
    <t>ESTOQUE DISPONIVEL</t>
  </si>
  <si>
    <r>
      <rPr>
        <rFont val="Arial"/>
        <color rgb="FF000000"/>
        <sz val="12.0"/>
      </rPr>
      <t>PMP</t>
    </r>
    <r>
      <rPr>
        <rFont val="Arial"/>
        <color rgb="FF000000"/>
        <sz val="12.0"/>
      </rPr>
      <t xml:space="preserve"> </t>
    </r>
  </si>
  <si>
    <t>SAIA</t>
  </si>
  <si>
    <t xml:space="preserve">ESTOQUE INICIAL </t>
  </si>
  <si>
    <t>PRODUÇÃO POR TIPO DE PEÇA (12 SEMANAS)</t>
  </si>
  <si>
    <t>SEMANAS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</si>
  <si>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</si>
  <si>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</si>
  <si>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</si>
  <si>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</si>
  <si>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</si>
  <si>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</si>
  <si>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</si>
  <si>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</si>
  <si>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</si>
  <si>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</si>
  <si>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</si>
  <si>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</si>
  <si>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PRODUÇÃO TOTAL</t>
  </si>
  <si>
    <t xml:space="preserve"> </t>
  </si>
  <si>
    <t>PRODUÇÃO MENSAL</t>
  </si>
  <si>
    <t>CLIENTE</t>
  </si>
  <si>
    <t>PEDIDO</t>
  </si>
  <si>
    <t>PRAZO (SEMANAS)</t>
  </si>
  <si>
    <t>PRODUÇÃO POR TIPO DE PEÇA             (12 SEMANAS)</t>
  </si>
  <si>
    <t>Peça</t>
  </si>
  <si>
    <t>Porcentagem</t>
  </si>
  <si>
    <t>Unidades</t>
  </si>
  <si>
    <t>ELEGANCE MODA</t>
  </si>
  <si>
    <t>Todos:</t>
  </si>
  <si>
    <t xml:space="preserve">        </t>
  </si>
  <si>
    <t>A PEDIDO</t>
  </si>
  <si>
    <t>FLASH  FASHION</t>
  </si>
  <si>
    <t xml:space="preserve">Cropped: </t>
  </si>
  <si>
    <t>VAREJO</t>
  </si>
  <si>
    <t>VIVA VESTE</t>
  </si>
  <si>
    <t>Saia:</t>
  </si>
  <si>
    <t>Produção diária:</t>
  </si>
  <si>
    <t>Produção Mensal:</t>
  </si>
  <si>
    <t>Produção Anual:</t>
  </si>
  <si>
    <t>ÍNDICE DE FALHA (IFA)</t>
  </si>
  <si>
    <t>IFA =</t>
  </si>
  <si>
    <t xml:space="preserve">QUANTIDADE EM ESTOQUE </t>
  </si>
  <si>
    <t>TAXA DE DEMANDA</t>
  </si>
  <si>
    <t>ÍNDICE DE FOLGA (IFO)</t>
  </si>
  <si>
    <t>IFO =</t>
  </si>
  <si>
    <t>FOLGA</t>
  </si>
  <si>
    <t>TEMPO DE PROCESSAMENTO</t>
  </si>
  <si>
    <t>FOLGA =</t>
  </si>
  <si>
    <t xml:space="preserve">Data de entrega - Data atual - tempo de processamento </t>
  </si>
  <si>
    <t xml:space="preserve">FERIADOS </t>
  </si>
  <si>
    <t>21 de abril — Tiradentes (feriado nacional)</t>
  </si>
  <si>
    <t>1 de maio — Dia do Trabalho (feriado nacional)</t>
  </si>
  <si>
    <t>19 de junho —  Corpus Christi (ponto facultativo)</t>
  </si>
  <si>
    <t>CALCULO DE PRODUÇÃO IDEAL DE CROPPED PARCIAL (CLIENTES)</t>
  </si>
  <si>
    <t>Abril/Maio</t>
  </si>
  <si>
    <t>Maio/Junho</t>
  </si>
  <si>
    <t>Junho/Julho</t>
  </si>
  <si>
    <t>PERÍODO POR SEMANA</t>
  </si>
  <si>
    <t>METAS DE PRODUÇÃO</t>
  </si>
  <si>
    <t>PRODUÇÃO SEMANAL</t>
  </si>
  <si>
    <t>TOTAL PRODUZIDO</t>
  </si>
  <si>
    <t>ENTREGAS PARA ELEGANCE MODA</t>
  </si>
  <si>
    <t>SOMA DAS PARCELAS</t>
  </si>
  <si>
    <t>ENTREGAS PARA FLASH  FASHION</t>
  </si>
  <si>
    <t>ENTREGAS PARA VIVA VESTE</t>
  </si>
  <si>
    <t>CALCULO DE PRODUÇÃO IDEAL DE SAIA PARCIAL (CLIENTES)</t>
  </si>
  <si>
    <t>CALCULO DE PRODUÇÃO IDEAL GERAL PARCIAL (CLIENTES)</t>
  </si>
  <si>
    <t>CALCULO DE PRODUÇÃO IDEAL DE CROPPED TOTAL (CLIENTES + LOJA)</t>
  </si>
  <si>
    <t>VAREJO MENSAL</t>
  </si>
  <si>
    <t>VAREJO SEMANAL (Coef.)</t>
  </si>
  <si>
    <t>CALCULO DE PRODUÇÃO IDEAL DE SAIA TOTAL (CLIENTES + LOJA)</t>
  </si>
  <si>
    <t>CALCULO DE PRODUÇÃO IDEAL GERAL TOTAL (CLIENTES + LOJA)</t>
  </si>
  <si>
    <t>PRODUÇÃO POR PERÍODO</t>
  </si>
  <si>
    <t>PERIODO</t>
  </si>
  <si>
    <t>POR DIA</t>
  </si>
  <si>
    <t>POR MÊS</t>
  </si>
  <si>
    <t>POR 3 MÊSES</t>
  </si>
  <si>
    <t>POR ANO</t>
  </si>
  <si>
    <t>VIGÊNCIA</t>
  </si>
  <si>
    <t>Mês 1</t>
  </si>
  <si>
    <t>Mês 2</t>
  </si>
  <si>
    <t>Mês 3</t>
  </si>
  <si>
    <t>Trimestre 1</t>
  </si>
  <si>
    <t>Trimestre 2</t>
  </si>
  <si>
    <t>Trimestre 3</t>
  </si>
  <si>
    <t>Trimestre 4</t>
  </si>
  <si>
    <t>Ano 1</t>
  </si>
  <si>
    <t>PRODUÇÃO</t>
  </si>
  <si>
    <t>FERIAS</t>
  </si>
  <si>
    <t>CALCULOS DE HORA MÁQUINA E JORNADA DE TRABALHO DOS OPERÁRIOS</t>
  </si>
  <si>
    <t>Valores variantes (estes valores podem ser alterados)</t>
  </si>
  <si>
    <t>Etapa</t>
  </si>
  <si>
    <t>Máquina</t>
  </si>
  <si>
    <t>Tempo de Operação Parcial</t>
  </si>
  <si>
    <r>
      <rPr>
        <rFont val="Arial"/>
        <b/>
        <color theme="1"/>
      </rPr>
      <t>Tempo de Transição</t>
    </r>
    <r>
      <rPr>
        <rFont val="Arial"/>
        <color theme="1"/>
      </rPr>
      <t xml:space="preserve"> (Mudar de uma maquina para outra)</t>
    </r>
  </si>
  <si>
    <t>Meta diária (unidades)</t>
  </si>
  <si>
    <t>Jornada de trabalho (horas)</t>
  </si>
  <si>
    <t>Intervalos Durante a Confecçâo (minutos)</t>
  </si>
  <si>
    <t>Montar frente e costas</t>
  </si>
  <si>
    <t>Manual</t>
  </si>
  <si>
    <t>A</t>
  </si>
  <si>
    <t>Transpassar as duas partes da frente</t>
  </si>
  <si>
    <t>Fechar ombros e laterais</t>
  </si>
  <si>
    <t>Overlock</t>
  </si>
  <si>
    <t>C</t>
  </si>
  <si>
    <t>Fechar gola</t>
  </si>
  <si>
    <t>Virar a gola dobrando-a</t>
  </si>
  <si>
    <t>B</t>
  </si>
  <si>
    <t>Pregar gola</t>
  </si>
  <si>
    <t>Fazer bainha das mangas</t>
  </si>
  <si>
    <t>Galoneira</t>
  </si>
  <si>
    <t>S</t>
  </si>
  <si>
    <t>Fechar as mangas</t>
  </si>
  <si>
    <t>Pregar as mangas</t>
  </si>
  <si>
    <t>Limpeza</t>
  </si>
  <si>
    <t>EQUAÇÕES (Estes valores não podem ser alterados)</t>
  </si>
  <si>
    <t>Encontrando total de celulas necessárias</t>
  </si>
  <si>
    <t>Eficiência, Tempos de trabaho e intervalos</t>
  </si>
  <si>
    <t>Tempo de Operação Total</t>
  </si>
  <si>
    <r>
      <rPr>
        <rFont val="Arial"/>
        <b/>
        <color theme="1"/>
      </rPr>
      <t>Gargalo</t>
    </r>
    <r>
      <rPr>
        <rFont val="Arial"/>
        <b val="0"/>
        <color theme="1"/>
      </rPr>
      <t xml:space="preserve"> (etapa 7)</t>
    </r>
  </si>
  <si>
    <r>
      <rPr>
        <rFont val="Arial"/>
        <b/>
        <color theme="1"/>
      </rPr>
      <t xml:space="preserve">Tempo Ocioso           </t>
    </r>
    <r>
      <rPr>
        <rFont val="Arial"/>
        <b val="0"/>
        <color theme="1"/>
      </rPr>
      <t>(por unidade)</t>
    </r>
  </si>
  <si>
    <t>Tempo ocioso</t>
  </si>
  <si>
    <t>Tempo de operação diário total</t>
  </si>
  <si>
    <t>Jornada de trabalho</t>
  </si>
  <si>
    <t>Quantidade de células</t>
  </si>
  <si>
    <t>Peças operadas por qtd máquina</t>
  </si>
  <si>
    <r>
      <rPr>
        <rFont val="Arial"/>
        <b/>
        <color theme="1"/>
      </rPr>
      <t xml:space="preserve">tempo ocioso por máquina </t>
    </r>
    <r>
      <rPr>
        <rFont val="Arial"/>
        <color theme="1"/>
      </rPr>
      <t>(minutos)</t>
    </r>
  </si>
  <si>
    <r>
      <rPr>
        <rFont val="Arial"/>
        <b/>
        <color theme="1"/>
      </rPr>
      <t xml:space="preserve">Tempo de operação diário por máquina </t>
    </r>
    <r>
      <rPr>
        <rFont val="Arial"/>
        <b val="0"/>
        <color theme="1"/>
      </rPr>
      <t>(minutos)</t>
    </r>
  </si>
  <si>
    <r>
      <rPr>
        <rFont val="Arial"/>
        <b/>
        <color theme="1"/>
      </rPr>
      <t xml:space="preserve">Eficiência </t>
    </r>
    <r>
      <rPr>
        <rFont val="Arial"/>
        <b val="0"/>
        <color theme="1"/>
      </rPr>
      <t>(minutos)</t>
    </r>
  </si>
  <si>
    <r>
      <rPr>
        <rFont val="Arial"/>
        <b/>
        <color theme="1"/>
      </rPr>
      <t xml:space="preserve">Eficiência </t>
    </r>
    <r>
      <rPr>
        <rFont val="Arial"/>
        <color theme="1"/>
      </rPr>
      <t>(porcentagem)</t>
    </r>
  </si>
  <si>
    <t>Meta de peças por lote</t>
  </si>
  <si>
    <r>
      <rPr>
        <rFont val="Arial"/>
        <b/>
        <color theme="1"/>
      </rPr>
      <t xml:space="preserve">Tempo de trabalho </t>
    </r>
    <r>
      <rPr>
        <rFont val="Arial"/>
        <b val="0"/>
        <color theme="1"/>
      </rPr>
      <t>(minutos)</t>
    </r>
  </si>
  <si>
    <t>Valores variantes (estes valores devem ser alterados)</t>
  </si>
  <si>
    <t>Tempo de Transição (Mudar de uma maquina para outra)</t>
  </si>
  <si>
    <t>Fechar cós + elástico</t>
  </si>
  <si>
    <t>Pesponto interno no cós</t>
  </si>
  <si>
    <t>Reta</t>
  </si>
  <si>
    <t>Detalhe reto na frente</t>
  </si>
  <si>
    <t>Detalhe maior reta atrás</t>
  </si>
  <si>
    <t>Fechar lateral</t>
  </si>
  <si>
    <t>Costurar o cós</t>
  </si>
  <si>
    <t>Acabamento barra 1,6 cm largura</t>
  </si>
  <si>
    <t>Inspeção</t>
  </si>
  <si>
    <t>EQUAÇÕES (Estes valores não devem ser alterados)</t>
  </si>
  <si>
    <r>
      <rPr>
        <rFont val="Arial"/>
        <b/>
        <color theme="1"/>
      </rPr>
      <t>Gargalo</t>
    </r>
    <r>
      <rPr>
        <rFont val="Arial"/>
        <b val="0"/>
        <color theme="1"/>
      </rPr>
      <t xml:space="preserve"> (etapa 7)</t>
    </r>
  </si>
  <si>
    <r>
      <rPr>
        <rFont val="Arial"/>
        <b/>
        <color theme="1"/>
      </rPr>
      <t xml:space="preserve">Tempo Ocioso           por unidade </t>
    </r>
    <r>
      <rPr>
        <rFont val="Arial"/>
        <b val="0"/>
        <color theme="1"/>
      </rPr>
      <t>(segundos)</t>
    </r>
  </si>
  <si>
    <t>Tempo ocioso por meta diária</t>
  </si>
  <si>
    <t>Peças operadas por célula</t>
  </si>
  <si>
    <r>
      <rPr>
        <rFont val="Arial"/>
        <b/>
        <color theme="1"/>
      </rPr>
      <t xml:space="preserve">tempo ocioso por máquina </t>
    </r>
    <r>
      <rPr>
        <rFont val="Arial"/>
        <color theme="1"/>
      </rPr>
      <t>(minutos)</t>
    </r>
  </si>
  <si>
    <r>
      <rPr>
        <rFont val="Arial"/>
        <b/>
        <color theme="1"/>
      </rPr>
      <t xml:space="preserve">Tempo de operação diário por máquina </t>
    </r>
    <r>
      <rPr>
        <rFont val="Arial"/>
        <b val="0"/>
        <color theme="1"/>
      </rPr>
      <t>(minutos)</t>
    </r>
  </si>
  <si>
    <r>
      <rPr>
        <rFont val="Arial"/>
        <b/>
        <color theme="1"/>
      </rPr>
      <t xml:space="preserve">Eficiência </t>
    </r>
    <r>
      <rPr>
        <rFont val="Arial"/>
        <b val="0"/>
        <color theme="1"/>
      </rPr>
      <t>(minutos)</t>
    </r>
  </si>
  <si>
    <r>
      <rPr>
        <rFont val="Arial"/>
        <b/>
        <color theme="1"/>
      </rPr>
      <t xml:space="preserve">Eficiência </t>
    </r>
    <r>
      <rPr>
        <rFont val="Arial"/>
        <color theme="1"/>
      </rPr>
      <t>(porcentagem)</t>
    </r>
  </si>
  <si>
    <r>
      <rPr>
        <rFont val="Arial"/>
        <b/>
        <color theme="1"/>
      </rPr>
      <t xml:space="preserve">Tempo de trabalho </t>
    </r>
    <r>
      <rPr>
        <rFont val="Arial"/>
        <b val="0"/>
        <color theme="1"/>
      </rPr>
      <t>(minutos)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</si>
</sst>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4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3.0"/>
      <color rgb="FF000000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sz val="12.0"/>
      <color rgb="FFFF0000"/>
      <name val="Arial"/>
    </font>
    <font>
      <color rgb="FFFF0000"/>
      <name val="Arial"/>
    </font>
    <font>
      <sz val="11.0"/>
      <color rgb="FFFF0000"/>
      <name val="Arial"/>
    </font>
    <font>
      <sz val="12.0"/>
      <color rgb="FF0000FF"/>
      <name val="Arial"/>
    </font>
    <font>
      <color rgb="FF0000FF"/>
      <name val="Arial"/>
    </font>
    <font>
      <sz val="11.0"/>
      <color rgb="FF0000FF"/>
      <name val="Arial"/>
    </font>
    <font>
      <color theme="1"/>
      <name val="Arial"/>
    </font>
    <font>
      <sz val="18.0"/>
      <color theme="1"/>
      <name val="Arial"/>
      <scheme val="minor"/>
    </font>
    <font>
      <b/>
      <sz val="12.0"/>
      <color rgb="FF000000"/>
      <name val="Arial"/>
    </font>
    <font>
      <sz val="11.0"/>
      <color theme="1"/>
      <name val="Arial"/>
    </font>
    <font>
      <color rgb="FF000000"/>
      <name val="Arial"/>
    </font>
    <font>
      <b/>
      <sz val="12.0"/>
      <color rgb="FFFFFFFF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theme="1"/>
      <name val="Arial"/>
    </font>
    <font>
      <sz val="18.0"/>
      <color rgb="FFFFFFFF"/>
      <name val="Arial"/>
      <scheme val="minor"/>
    </font>
    <font>
      <sz val="12.0"/>
      <color rgb="FFFFFFFF"/>
      <name val="Arial"/>
    </font>
    <font>
      <sz val="12.0"/>
      <color rgb="FF980000"/>
      <name val="Arial"/>
      <scheme val="minor"/>
    </font>
    <font>
      <sz val="12.0"/>
      <color rgb="FF000000"/>
      <name val="Arial"/>
      <scheme val="minor"/>
    </font>
    <font>
      <sz val="12.0"/>
      <color rgb="FF980000"/>
      <name val="Arial"/>
    </font>
    <font>
      <b/>
      <sz val="15.0"/>
      <color rgb="FF000000"/>
      <name val="Arial"/>
      <scheme val="minor"/>
    </font>
    <font>
      <b/>
      <sz val="15.0"/>
      <color rgb="FF000000"/>
      <name val="Arial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b/>
      <sz val="15.0"/>
      <color rgb="FFFFFFFF"/>
      <name val="Arial"/>
      <scheme val="minor"/>
    </font>
    <font>
      <color rgb="FF000000"/>
      <name val="Arial"/>
      <scheme val="minor"/>
    </font>
    <font>
      <sz val="11.0"/>
      <color rgb="FFFFFFFF"/>
      <name val="Arial"/>
      <scheme val="minor"/>
    </font>
    <font>
      <b/>
      <sz val="14.0"/>
      <color rgb="FFFFFFFF"/>
      <name val="Arial"/>
      <scheme val="minor"/>
    </font>
    <font>
      <color rgb="FF980000"/>
      <name val="Arial"/>
      <scheme val="minor"/>
    </font>
    <font>
      <sz val="18.0"/>
      <color rgb="FF000000"/>
      <name val="Arial"/>
      <scheme val="minor"/>
    </font>
    <font>
      <sz val="15.0"/>
      <color rgb="FFFFFFFF"/>
      <name val="Arial"/>
      <scheme val="minor"/>
    </font>
    <font>
      <sz val="14.0"/>
      <color rgb="FF000000"/>
      <name val="Arial"/>
    </font>
    <font>
      <sz val="10.0"/>
      <color rgb="FF000000"/>
      <name val="Arial"/>
    </font>
    <font>
      <b/>
      <sz val="11.0"/>
      <color rgb="FF000000"/>
      <name val="Arial"/>
    </font>
    <font>
      <b/>
      <color rgb="FF000000"/>
      <name val="Arial"/>
      <scheme val="minor"/>
    </font>
    <font>
      <color rgb="FFFFFFFF"/>
      <name val="Arial"/>
    </font>
    <font>
      <sz val="11.0"/>
      <color rgb="FFFFFFFF"/>
      <name val="Arial"/>
    </font>
    <font>
      <b/>
      <sz val="55.0"/>
      <color rgb="FFA64D79"/>
      <name val="Arial"/>
    </font>
    <font>
      <b/>
      <sz val="14.0"/>
      <color rgb="FFFFFFFF"/>
      <name val="Arial"/>
    </font>
    <font>
      <b/>
      <sz val="15.0"/>
      <color rgb="FFFFFFFF"/>
      <name val="Arial"/>
    </font>
    <font>
      <b/>
      <color theme="1"/>
      <name val="Arial"/>
    </font>
    <font>
      <sz val="17.0"/>
      <color theme="1"/>
      <name val="Arial"/>
    </font>
    <font>
      <b/>
      <sz val="17.0"/>
      <color theme="1"/>
      <name val="Arial"/>
    </font>
    <font>
      <b/>
      <color rgb="FFFFFFFF"/>
      <name val="Arial"/>
    </font>
    <font>
      <b/>
      <sz val="55.0"/>
      <color rgb="FF674EA7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  <fill>
      <patternFill patternType="solid">
        <fgColor rgb="FFC9DAF8"/>
        <bgColor rgb="FFC9DAF8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674EA7"/>
      </left>
      <top style="thick">
        <color rgb="FF674EA7"/>
      </top>
      <bottom style="thick">
        <color rgb="FF674EA7"/>
      </bottom>
    </border>
    <border>
      <top style="thick">
        <color rgb="FF674EA7"/>
      </top>
      <bottom style="thick">
        <color rgb="FF674EA7"/>
      </bottom>
    </border>
    <border>
      <right style="thick">
        <color rgb="FF674EA7"/>
      </right>
      <top style="thick">
        <color rgb="FF674EA7"/>
      </top>
      <bottom style="thick">
        <color rgb="FF674EA7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bottom"/>
    </xf>
    <xf borderId="1" fillId="5" fontId="2" numFmtId="0" xfId="0" applyAlignment="1" applyBorder="1" applyFill="1" applyFont="1">
      <alignment horizontal="center" readingOrder="0" vertical="bottom"/>
    </xf>
    <xf borderId="4" fillId="5" fontId="5" numFmtId="0" xfId="0" applyAlignment="1" applyBorder="1" applyFont="1">
      <alignment horizontal="center" vertical="bottom"/>
    </xf>
    <xf borderId="0" fillId="0" fontId="4" numFmtId="0" xfId="0" applyAlignment="1" applyFont="1">
      <alignment readingOrder="0" vertical="top"/>
    </xf>
    <xf borderId="1" fillId="5" fontId="6" numFmtId="0" xfId="0" applyAlignment="1" applyBorder="1" applyFont="1">
      <alignment horizontal="center" readingOrder="0" vertical="bottom"/>
    </xf>
    <xf borderId="4" fillId="6" fontId="7" numFmtId="164" xfId="0" applyAlignment="1" applyBorder="1" applyFill="1" applyFont="1" applyNumberFormat="1">
      <alignment horizontal="center" vertical="bottom"/>
    </xf>
    <xf borderId="5" fillId="6" fontId="6" numFmtId="0" xfId="0" applyAlignment="1" applyBorder="1" applyFont="1">
      <alignment horizontal="center" shrinkToFit="0" vertical="bottom" wrapText="1"/>
    </xf>
    <xf borderId="4" fillId="6" fontId="8" numFmtId="0" xfId="0" applyAlignment="1" applyBorder="1" applyFont="1">
      <alignment horizontal="center" shrinkToFit="0" vertical="bottom" wrapText="1"/>
    </xf>
    <xf borderId="4" fillId="6" fontId="9" numFmtId="0" xfId="0" applyAlignment="1" applyBorder="1" applyFont="1">
      <alignment vertical="bottom"/>
    </xf>
    <xf borderId="4" fillId="6" fontId="10" numFmtId="1" xfId="0" applyAlignment="1" applyBorder="1" applyFont="1" applyNumberFormat="1">
      <alignment horizontal="center" vertical="bottom"/>
    </xf>
    <xf borderId="0" fillId="7" fontId="4" numFmtId="0" xfId="0" applyFill="1" applyFont="1"/>
    <xf borderId="6" fillId="0" fontId="3" numFmtId="0" xfId="0" applyBorder="1" applyFont="1"/>
    <xf borderId="4" fillId="6" fontId="11" numFmtId="0" xfId="0" applyAlignment="1" applyBorder="1" applyFont="1">
      <alignment horizontal="center" vertical="bottom"/>
    </xf>
    <xf borderId="4" fillId="6" fontId="12" numFmtId="0" xfId="0" applyAlignment="1" applyBorder="1" applyFont="1">
      <alignment vertical="bottom"/>
    </xf>
    <xf borderId="4" fillId="6" fontId="13" numFmtId="1" xfId="0" applyAlignment="1" applyBorder="1" applyFont="1" applyNumberFormat="1">
      <alignment horizontal="center" readingOrder="0" vertical="bottom"/>
    </xf>
    <xf borderId="5" fillId="5" fontId="6" numFmtId="0" xfId="0" applyAlignment="1" applyBorder="1" applyFont="1">
      <alignment horizontal="center" shrinkToFit="0" vertical="bottom" wrapText="1"/>
    </xf>
    <xf borderId="4" fillId="5" fontId="8" numFmtId="0" xfId="0" applyAlignment="1" applyBorder="1" applyFont="1">
      <alignment horizontal="center" shrinkToFit="0" vertical="bottom" wrapText="1"/>
    </xf>
    <xf borderId="4" fillId="5" fontId="9" numFmtId="0" xfId="0" applyAlignment="1" applyBorder="1" applyFont="1">
      <alignment vertical="bottom"/>
    </xf>
    <xf borderId="4" fillId="5" fontId="10" numFmtId="1" xfId="0" applyAlignment="1" applyBorder="1" applyFont="1" applyNumberFormat="1">
      <alignment horizontal="center" readingOrder="0" vertical="bottom"/>
    </xf>
    <xf borderId="4" fillId="5" fontId="11" numFmtId="0" xfId="0" applyAlignment="1" applyBorder="1" applyFont="1">
      <alignment horizontal="center" vertical="bottom"/>
    </xf>
    <xf borderId="4" fillId="5" fontId="12" numFmtId="0" xfId="0" applyAlignment="1" applyBorder="1" applyFont="1">
      <alignment vertical="bottom"/>
    </xf>
    <xf borderId="4" fillId="5" fontId="13" numFmtId="1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5" fillId="6" fontId="6" numFmtId="0" xfId="0" applyAlignment="1" applyBorder="1" applyFont="1">
      <alignment horizontal="center" vertical="bottom"/>
    </xf>
    <xf borderId="4" fillId="6" fontId="10" numFmtId="0" xfId="0" applyAlignment="1" applyBorder="1" applyFont="1">
      <alignment horizontal="center" vertical="bottom"/>
    </xf>
    <xf borderId="4" fillId="6" fontId="11" numFmtId="0" xfId="0" applyAlignment="1" applyBorder="1" applyFont="1">
      <alignment horizontal="center" shrinkToFit="0" vertical="bottom" wrapText="1"/>
    </xf>
    <xf borderId="4" fillId="6" fontId="13" numFmtId="0" xfId="0" applyAlignment="1" applyBorder="1" applyFont="1">
      <alignment horizontal="center" readingOrder="0" vertical="bottom"/>
    </xf>
    <xf borderId="4" fillId="5" fontId="10" numFmtId="0" xfId="0" applyAlignment="1" applyBorder="1" applyFont="1">
      <alignment horizontal="center" readingOrder="0" vertical="bottom"/>
    </xf>
    <xf borderId="4" fillId="5" fontId="9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4" fillId="5" fontId="11" numFmtId="0" xfId="0" applyAlignment="1" applyBorder="1" applyFont="1">
      <alignment horizontal="center" shrinkToFit="0" vertical="bottom" wrapText="1"/>
    </xf>
    <xf borderId="4" fillId="5" fontId="13" numFmtId="0" xfId="0" applyAlignment="1" applyBorder="1" applyFont="1">
      <alignment horizontal="center" readingOrder="0" vertical="bottom"/>
    </xf>
    <xf borderId="4" fillId="5" fontId="12" numFmtId="0" xfId="0" applyAlignment="1" applyBorder="1" applyFont="1">
      <alignment vertical="bottom"/>
    </xf>
    <xf borderId="0" fillId="0" fontId="15" numFmtId="0" xfId="0" applyAlignment="1" applyFont="1">
      <alignment horizontal="center" readingOrder="0" shrinkToFit="0" vertical="center" wrapText="1"/>
    </xf>
    <xf borderId="0" fillId="8" fontId="4" numFmtId="0" xfId="0" applyFill="1" applyFont="1"/>
    <xf borderId="0" fillId="2" fontId="1" numFmtId="0" xfId="0" applyAlignment="1" applyFont="1">
      <alignment horizontal="center" readingOrder="0" vertical="bottom"/>
    </xf>
    <xf borderId="1" fillId="4" fontId="16" numFmtId="0" xfId="0" applyAlignment="1" applyBorder="1" applyFont="1">
      <alignment horizontal="center" vertical="bottom"/>
    </xf>
    <xf borderId="4" fillId="9" fontId="5" numFmtId="0" xfId="0" applyAlignment="1" applyBorder="1" applyFill="1" applyFont="1">
      <alignment horizontal="center" vertical="bottom"/>
    </xf>
    <xf borderId="4" fillId="9" fontId="5" numFmtId="0" xfId="0" applyAlignment="1" applyBorder="1" applyFont="1">
      <alignment horizontal="center" vertical="bottom"/>
    </xf>
    <xf borderId="4" fillId="9" fontId="17" numFmtId="1" xfId="0" applyAlignment="1" applyBorder="1" applyFont="1" applyNumberFormat="1">
      <alignment horizontal="center" readingOrder="0" vertical="bottom"/>
    </xf>
    <xf borderId="4" fillId="9" fontId="17" numFmtId="1" xfId="0" applyAlignment="1" applyBorder="1" applyFont="1" applyNumberFormat="1">
      <alignment horizontal="center" vertical="bottom"/>
    </xf>
    <xf borderId="4" fillId="9" fontId="17" numFmtId="0" xfId="0" applyAlignment="1" applyBorder="1" applyFont="1">
      <alignment horizontal="center" readingOrder="0" vertical="bottom"/>
    </xf>
    <xf borderId="0" fillId="0" fontId="18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4" fontId="19" numFmtId="0" xfId="0" applyAlignment="1" applyFont="1">
      <alignment horizontal="center" readingOrder="0" vertical="bottom"/>
    </xf>
    <xf borderId="0" fillId="4" fontId="19" numFmtId="0" xfId="0" applyAlignment="1" applyFont="1">
      <alignment horizontal="center" vertical="bottom"/>
    </xf>
    <xf borderId="0" fillId="4" fontId="19" numFmtId="0" xfId="0" applyAlignment="1" applyFont="1">
      <alignment horizontal="center" vertical="bottom"/>
    </xf>
    <xf borderId="0" fillId="4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vertical="bottom"/>
    </xf>
    <xf borderId="0" fillId="4" fontId="19" numFmtId="0" xfId="0" applyAlignment="1" applyFont="1">
      <alignment horizontal="center" readingOrder="0" shrinkToFit="0" vertical="bottom" wrapText="1"/>
    </xf>
    <xf borderId="0" fillId="9" fontId="20" numFmtId="3" xfId="0" applyAlignment="1" applyFont="1" applyNumberFormat="1">
      <alignment horizontal="center" vertical="bottom"/>
    </xf>
    <xf borderId="0" fillId="0" fontId="21" numFmtId="0" xfId="0" applyFont="1"/>
    <xf borderId="0" fillId="9" fontId="14" numFmtId="0" xfId="0" applyAlignment="1" applyFont="1">
      <alignment vertical="bottom"/>
    </xf>
    <xf borderId="0" fillId="9" fontId="14" numFmtId="0" xfId="0" applyAlignment="1" applyFont="1">
      <alignment vertical="bottom"/>
    </xf>
    <xf borderId="0" fillId="9" fontId="14" numFmtId="0" xfId="0" applyAlignment="1" applyFont="1">
      <alignment readingOrder="0" vertical="bottom"/>
    </xf>
    <xf borderId="0" fillId="9" fontId="22" numFmtId="0" xfId="0" applyAlignment="1" applyFont="1">
      <alignment horizontal="center" readingOrder="0"/>
    </xf>
    <xf borderId="0" fillId="9" fontId="21" numFmtId="3" xfId="0" applyAlignment="1" applyFont="1" applyNumberFormat="1">
      <alignment horizontal="center" readingOrder="0"/>
    </xf>
    <xf borderId="0" fillId="9" fontId="20" numFmtId="0" xfId="0" applyAlignment="1" applyFont="1">
      <alignment horizontal="center" shrinkToFit="0" vertical="bottom" wrapText="1"/>
    </xf>
    <xf borderId="0" fillId="9" fontId="20" numFmtId="0" xfId="0" applyAlignment="1" applyFont="1">
      <alignment horizontal="center" vertical="bottom"/>
    </xf>
    <xf borderId="1" fillId="9" fontId="20" numFmtId="0" xfId="0" applyAlignment="1" applyBorder="1" applyFont="1">
      <alignment horizontal="left" readingOrder="0" vertical="bottom"/>
    </xf>
    <xf borderId="2" fillId="9" fontId="20" numFmtId="10" xfId="0" applyAlignment="1" applyBorder="1" applyFont="1" applyNumberFormat="1">
      <alignment horizontal="center" readingOrder="0" vertical="bottom"/>
    </xf>
    <xf borderId="2" fillId="9" fontId="20" numFmtId="0" xfId="0" applyAlignment="1" applyBorder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8" fontId="20" numFmtId="1" xfId="0" applyAlignment="1" applyFont="1" applyNumberFormat="1">
      <alignment horizontal="center" readingOrder="0" shrinkToFit="0" vertical="bottom" wrapText="1"/>
    </xf>
    <xf borderId="0" fillId="8" fontId="20" numFmtId="3" xfId="0" applyAlignment="1" applyFont="1" applyNumberFormat="1">
      <alignment horizontal="center" vertical="bottom"/>
    </xf>
    <xf borderId="0" fillId="8" fontId="20" numFmtId="3" xfId="0" applyAlignment="1" applyFont="1" applyNumberFormat="1">
      <alignment horizontal="center" readingOrder="0" vertical="bottom"/>
    </xf>
    <xf borderId="0" fillId="8" fontId="20" numFmtId="0" xfId="0" applyAlignment="1" applyFont="1">
      <alignment horizontal="center" shrinkToFit="0" vertical="bottom" wrapText="1"/>
    </xf>
    <xf borderId="0" fillId="8" fontId="20" numFmtId="0" xfId="0" applyAlignment="1" applyFont="1">
      <alignment horizontal="center" vertical="bottom"/>
    </xf>
    <xf borderId="0" fillId="9" fontId="20" numFmtId="1" xfId="0" applyAlignment="1" applyFont="1" applyNumberFormat="1">
      <alignment horizontal="center" readingOrder="0" shrinkToFit="0" vertical="bottom" wrapText="1"/>
    </xf>
    <xf borderId="0" fillId="9" fontId="20" numFmtId="3" xfId="0" applyAlignment="1" applyFont="1" applyNumberFormat="1">
      <alignment horizontal="center" readingOrder="0" vertical="bottom"/>
    </xf>
    <xf borderId="1" fillId="9" fontId="20" numFmtId="1" xfId="0" applyAlignment="1" applyBorder="1" applyFont="1" applyNumberFormat="1">
      <alignment horizontal="left" readingOrder="0" vertical="bottom"/>
    </xf>
    <xf borderId="2" fillId="9" fontId="20" numFmtId="1" xfId="0" applyAlignment="1" applyBorder="1" applyFont="1" applyNumberFormat="1">
      <alignment horizontal="center" readingOrder="0" vertical="bottom"/>
    </xf>
    <xf borderId="0" fillId="4" fontId="4" numFmtId="0" xfId="0" applyFont="1"/>
    <xf borderId="0" fillId="4" fontId="20" numFmtId="1" xfId="0" applyAlignment="1" applyFont="1" applyNumberFormat="1">
      <alignment horizontal="center" shrinkToFit="0" vertical="bottom" wrapText="1"/>
    </xf>
    <xf borderId="0" fillId="0" fontId="20" numFmtId="1" xfId="0" applyAlignment="1" applyFont="1" applyNumberFormat="1">
      <alignment horizontal="center" shrinkToFit="0" vertical="bottom" wrapText="1"/>
    </xf>
    <xf borderId="0" fillId="4" fontId="20" numFmtId="3" xfId="0" applyAlignment="1" applyFont="1" applyNumberFormat="1">
      <alignment horizontal="center" vertical="bottom"/>
    </xf>
    <xf borderId="1" fillId="8" fontId="17" numFmtId="0" xfId="0" applyAlignment="1" applyBorder="1" applyFont="1">
      <alignment horizontal="center" readingOrder="0" vertical="bottom"/>
    </xf>
    <xf borderId="3" fillId="0" fontId="3" numFmtId="0" xfId="0" applyBorder="1" applyFont="1"/>
    <xf borderId="2" fillId="8" fontId="17" numFmtId="1" xfId="0" applyAlignment="1" applyBorder="1" applyFont="1" applyNumberFormat="1">
      <alignment horizontal="center" readingOrder="0" vertical="bottom"/>
    </xf>
    <xf borderId="2" fillId="8" fontId="17" numFmtId="1" xfId="0" applyAlignment="1" applyBorder="1" applyFont="1" applyNumberFormat="1">
      <alignment horizontal="center" readingOrder="0" vertical="bottom"/>
    </xf>
    <xf borderId="0" fillId="10" fontId="1" numFmtId="0" xfId="0" applyAlignment="1" applyFill="1" applyFont="1">
      <alignment horizontal="center" vertical="bottom"/>
    </xf>
    <xf borderId="7" fillId="5" fontId="23" numFmtId="0" xfId="0" applyAlignment="1" applyBorder="1" applyFont="1">
      <alignment horizontal="center" vertical="bottom"/>
    </xf>
    <xf borderId="8" fillId="0" fontId="3" numFmtId="0" xfId="0" applyBorder="1" applyFont="1"/>
    <xf borderId="9" fillId="6" fontId="17" numFmtId="0" xfId="0" applyAlignment="1" applyBorder="1" applyFont="1">
      <alignment horizontal="center" vertical="bottom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2" fillId="6" fontId="17" numFmtId="0" xfId="0" applyAlignment="1" applyBorder="1" applyFont="1">
      <alignment horizontal="center" vertical="bottom"/>
    </xf>
    <xf borderId="14" fillId="0" fontId="3" numFmtId="0" xfId="0" applyBorder="1" applyFont="1"/>
    <xf borderId="13" fillId="0" fontId="3" numFmtId="0" xfId="0" applyBorder="1" applyFont="1"/>
    <xf borderId="15" fillId="6" fontId="17" numFmtId="0" xfId="0" applyAlignment="1" applyBorder="1" applyFont="1">
      <alignment horizontal="center" vertical="bottom"/>
    </xf>
    <xf borderId="15" fillId="0" fontId="3" numFmtId="0" xfId="0" applyBorder="1" applyFont="1"/>
    <xf borderId="8" fillId="0" fontId="3" numFmtId="0" xfId="0" applyBorder="1" applyFont="1"/>
    <xf borderId="13" fillId="0" fontId="3" numFmtId="0" xfId="0" applyBorder="1" applyFont="1"/>
    <xf borderId="0" fillId="0" fontId="14" numFmtId="1" xfId="0" applyAlignment="1" applyFont="1" applyNumberFormat="1">
      <alignment vertical="bottom"/>
    </xf>
    <xf borderId="0" fillId="0" fontId="18" numFmtId="0" xfId="0" applyAlignment="1" applyFont="1">
      <alignment vertical="bottom"/>
    </xf>
    <xf borderId="16" fillId="0" fontId="3" numFmtId="0" xfId="0" applyBorder="1" applyFont="1"/>
    <xf borderId="17" fillId="0" fontId="3" numFmtId="0" xfId="0" applyBorder="1" applyFont="1"/>
    <xf borderId="1" fillId="11" fontId="24" numFmtId="0" xfId="0" applyAlignment="1" applyBorder="1" applyFill="1" applyFont="1">
      <alignment horizontal="center" readingOrder="0" shrinkToFit="0" vertical="center" wrapText="1"/>
    </xf>
    <xf borderId="4" fillId="5" fontId="25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center" readingOrder="0" vertical="center"/>
    </xf>
    <xf borderId="1" fillId="5" fontId="26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readingOrder="0" vertical="center"/>
    </xf>
    <xf borderId="16" fillId="11" fontId="4" numFmtId="0" xfId="0" applyBorder="1" applyFont="1"/>
    <xf borderId="0" fillId="11" fontId="4" numFmtId="0" xfId="0" applyFont="1"/>
    <xf borderId="1" fillId="5" fontId="27" numFmtId="0" xfId="0" applyAlignment="1" applyBorder="1" applyFont="1">
      <alignment horizontal="center" readingOrder="0" vertical="center"/>
    </xf>
    <xf borderId="4" fillId="5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1" fillId="5" fontId="6" numFmtId="0" xfId="0" applyAlignment="1" applyBorder="1" applyFont="1">
      <alignment horizontal="center" readingOrder="0" vertical="center"/>
    </xf>
    <xf borderId="4" fillId="6" fontId="28" numFmtId="164" xfId="0" applyAlignment="1" applyBorder="1" applyFont="1" applyNumberFormat="1">
      <alignment horizontal="center" vertical="bottom"/>
    </xf>
    <xf borderId="4" fillId="6" fontId="20" numFmtId="164" xfId="0" applyAlignment="1" applyBorder="1" applyFont="1" applyNumberFormat="1">
      <alignment horizontal="center" vertical="bottom"/>
    </xf>
    <xf borderId="1" fillId="6" fontId="28" numFmtId="164" xfId="0" applyAlignment="1" applyBorder="1" applyFont="1" applyNumberFormat="1">
      <alignment horizontal="center" vertical="bottom"/>
    </xf>
    <xf borderId="4" fillId="6" fontId="27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readingOrder="0" vertical="bottom"/>
    </xf>
    <xf borderId="4" fillId="6" fontId="29" numFmtId="1" xfId="0" applyAlignment="1" applyBorder="1" applyFont="1" applyNumberFormat="1">
      <alignment horizontal="center" readingOrder="0" vertical="bottom"/>
    </xf>
    <xf borderId="4" fillId="6" fontId="27" numFmtId="1" xfId="0" applyAlignment="1" applyBorder="1" applyFont="1" applyNumberFormat="1">
      <alignment horizontal="center" vertical="bottom"/>
    </xf>
    <xf borderId="1" fillId="6" fontId="30" numFmtId="1" xfId="0" applyAlignment="1" applyBorder="1" applyFont="1" applyNumberFormat="1">
      <alignment horizontal="center" readingOrder="0" vertical="bottom"/>
    </xf>
    <xf borderId="16" fillId="11" fontId="27" numFmtId="0" xfId="0" applyAlignment="1" applyBorder="1" applyFont="1">
      <alignment vertical="bottom"/>
    </xf>
    <xf borderId="0" fillId="11" fontId="27" numFmtId="0" xfId="0" applyAlignment="1" applyFont="1">
      <alignment vertical="bottom"/>
    </xf>
    <xf borderId="1" fillId="11" fontId="25" numFmtId="0" xfId="0" applyAlignment="1" applyBorder="1" applyFont="1">
      <alignment horizontal="center" readingOrder="0" shrinkToFit="0" vertical="bottom" wrapText="1"/>
    </xf>
    <xf borderId="4" fillId="11" fontId="25" numFmtId="1" xfId="0" applyAlignment="1" applyBorder="1" applyFont="1" applyNumberFormat="1">
      <alignment horizontal="center" readingOrder="0" vertical="bottom"/>
    </xf>
    <xf borderId="1" fillId="11" fontId="25" numFmtId="1" xfId="0" applyAlignment="1" applyBorder="1" applyFont="1" applyNumberFormat="1">
      <alignment horizontal="center" readingOrder="0" vertical="bottom"/>
    </xf>
    <xf borderId="1" fillId="10" fontId="31" numFmtId="0" xfId="0" applyAlignment="1" applyBorder="1" applyFont="1">
      <alignment horizontal="center" readingOrder="0" shrinkToFit="0" vertical="bottom" wrapText="1"/>
    </xf>
    <xf borderId="4" fillId="10" fontId="32" numFmtId="1" xfId="0" applyAlignment="1" applyBorder="1" applyFont="1" applyNumberFormat="1">
      <alignment horizontal="center" vertical="bottom"/>
    </xf>
    <xf borderId="4" fillId="10" fontId="33" numFmtId="1" xfId="0" applyAlignment="1" applyBorder="1" applyFont="1" applyNumberFormat="1">
      <alignment horizontal="center" vertical="bottom"/>
    </xf>
    <xf borderId="1" fillId="10" fontId="33" numFmtId="1" xfId="0" applyAlignment="1" applyBorder="1" applyFont="1" applyNumberFormat="1">
      <alignment horizontal="center" vertical="bottom"/>
    </xf>
    <xf borderId="12" fillId="11" fontId="27" numFmtId="0" xfId="0" applyAlignment="1" applyBorder="1" applyFont="1">
      <alignment vertical="bottom"/>
    </xf>
    <xf borderId="14" fillId="11" fontId="27" numFmtId="0" xfId="0" applyAlignment="1" applyBorder="1" applyFont="1">
      <alignment vertical="bottom"/>
    </xf>
    <xf borderId="1" fillId="6" fontId="21" numFmtId="0" xfId="0" applyAlignment="1" applyBorder="1" applyFont="1">
      <alignment horizontal="left" readingOrder="0" shrinkToFit="0" vertical="bottom" wrapText="1"/>
    </xf>
    <xf borderId="4" fillId="6" fontId="27" numFmtId="1" xfId="0" applyAlignment="1" applyBorder="1" applyFont="1" applyNumberFormat="1">
      <alignment vertical="bottom"/>
    </xf>
    <xf borderId="4" fillId="6" fontId="27" numFmtId="1" xfId="0" applyAlignment="1" applyBorder="1" applyFont="1" applyNumberFormat="1">
      <alignment vertical="bottom"/>
    </xf>
    <xf borderId="4" fillId="6" fontId="27" numFmtId="0" xfId="0" applyAlignment="1" applyBorder="1" applyFont="1">
      <alignment vertical="bottom"/>
    </xf>
    <xf borderId="12" fillId="6" fontId="27" numFmtId="0" xfId="0" applyAlignment="1" applyBorder="1" applyFont="1">
      <alignment horizontal="left" readingOrder="0" shrinkToFit="0" vertical="bottom" wrapText="1"/>
    </xf>
    <xf borderId="6" fillId="6" fontId="27" numFmtId="1" xfId="0" applyAlignment="1" applyBorder="1" applyFont="1" applyNumberFormat="1">
      <alignment vertical="bottom"/>
    </xf>
    <xf borderId="1" fillId="5" fontId="21" numFmtId="0" xfId="0" applyAlignment="1" applyBorder="1" applyFont="1">
      <alignment readingOrder="0" shrinkToFit="0" vertical="bottom" wrapText="1"/>
    </xf>
    <xf borderId="4" fillId="5" fontId="27" numFmtId="0" xfId="0" applyAlignment="1" applyBorder="1" applyFont="1">
      <alignment vertical="bottom"/>
    </xf>
    <xf borderId="4" fillId="5" fontId="27" numFmtId="0" xfId="0" applyAlignment="1" applyBorder="1" applyFont="1">
      <alignment readingOrder="0" vertical="bottom"/>
    </xf>
    <xf borderId="4" fillId="5" fontId="27" numFmtId="1" xfId="0" applyAlignment="1" applyBorder="1" applyFont="1" applyNumberFormat="1">
      <alignment vertical="bottom"/>
    </xf>
    <xf borderId="4" fillId="5" fontId="27" numFmtId="1" xfId="0" applyAlignment="1" applyBorder="1" applyFont="1" applyNumberFormat="1">
      <alignment vertical="bottom"/>
    </xf>
    <xf borderId="1" fillId="6" fontId="21" numFmtId="0" xfId="0" applyAlignment="1" applyBorder="1" applyFont="1">
      <alignment readingOrder="0" shrinkToFit="0" vertical="bottom" wrapText="1"/>
    </xf>
    <xf borderId="4" fillId="6" fontId="27" numFmtId="0" xfId="0" applyAlignment="1" applyBorder="1" applyFont="1">
      <alignment readingOrder="0" vertical="bottom"/>
    </xf>
    <xf borderId="0" fillId="0" fontId="34" numFmtId="0" xfId="0" applyAlignment="1" applyFont="1">
      <alignment horizontal="center" shrinkToFit="0" vertical="center" wrapText="1"/>
    </xf>
    <xf borderId="1" fillId="12" fontId="24" numFmtId="0" xfId="0" applyAlignment="1" applyBorder="1" applyFill="1" applyFont="1">
      <alignment horizontal="center" readingOrder="0" shrinkToFit="0" vertical="center" wrapText="1"/>
    </xf>
    <xf borderId="4" fillId="5" fontId="25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horizontal="center" readingOrder="0" vertical="bottom"/>
    </xf>
    <xf borderId="1" fillId="5" fontId="26" numFmtId="0" xfId="0" applyAlignment="1" applyBorder="1" applyFont="1">
      <alignment horizontal="center" readingOrder="0" vertical="bottom"/>
    </xf>
    <xf borderId="1" fillId="5" fontId="21" numFmtId="0" xfId="0" applyAlignment="1" applyBorder="1" applyFont="1">
      <alignment horizontal="center" readingOrder="0" vertical="bottom"/>
    </xf>
    <xf borderId="16" fillId="12" fontId="32" numFmtId="0" xfId="0" applyAlignment="1" applyBorder="1" applyFont="1">
      <alignment horizontal="center" vertical="bottom"/>
    </xf>
    <xf borderId="0" fillId="12" fontId="32" numFmtId="0" xfId="0" applyAlignment="1" applyFont="1">
      <alignment horizontal="center" vertical="bottom"/>
    </xf>
    <xf borderId="1" fillId="5" fontId="27" numFmtId="0" xfId="0" applyAlignment="1" applyBorder="1" applyFont="1">
      <alignment horizontal="center" readingOrder="0" vertical="bottom"/>
    </xf>
    <xf borderId="4" fillId="5" fontId="23" numFmtId="0" xfId="0" applyAlignment="1" applyBorder="1" applyFont="1">
      <alignment horizontal="center" vertical="bottom"/>
    </xf>
    <xf borderId="1" fillId="5" fontId="23" numFmtId="0" xfId="0" applyAlignment="1" applyBorder="1" applyFont="1">
      <alignment horizontal="center" vertical="bottom"/>
    </xf>
    <xf borderId="1" fillId="12" fontId="25" numFmtId="0" xfId="0" applyAlignment="1" applyBorder="1" applyFont="1">
      <alignment horizontal="center" readingOrder="0" shrinkToFit="0" vertical="bottom" wrapText="1"/>
    </xf>
    <xf borderId="4" fillId="12" fontId="25" numFmtId="1" xfId="0" applyAlignment="1" applyBorder="1" applyFont="1" applyNumberFormat="1">
      <alignment horizontal="center" readingOrder="0" vertical="bottom"/>
    </xf>
    <xf borderId="1" fillId="12" fontId="25" numFmtId="1" xfId="0" applyAlignment="1" applyBorder="1" applyFont="1" applyNumberFormat="1">
      <alignment horizontal="center" readingOrder="0" vertical="bottom"/>
    </xf>
    <xf borderId="4" fillId="10" fontId="35" numFmtId="1" xfId="0" applyAlignment="1" applyBorder="1" applyFont="1" applyNumberFormat="1">
      <alignment horizontal="center" vertical="bottom"/>
    </xf>
    <xf borderId="4" fillId="10" fontId="36" numFmtId="1" xfId="0" applyAlignment="1" applyBorder="1" applyFont="1" applyNumberFormat="1">
      <alignment horizontal="center" vertical="bottom"/>
    </xf>
    <xf borderId="4" fillId="10" fontId="31" numFmtId="1" xfId="0" applyAlignment="1" applyBorder="1" applyFont="1" applyNumberFormat="1">
      <alignment horizontal="center" vertical="bottom"/>
    </xf>
    <xf borderId="1" fillId="10" fontId="31" numFmtId="1" xfId="0" applyAlignment="1" applyBorder="1" applyFont="1" applyNumberFormat="1">
      <alignment horizontal="center" vertical="bottom"/>
    </xf>
    <xf borderId="12" fillId="12" fontId="32" numFmtId="0" xfId="0" applyAlignment="1" applyBorder="1" applyFont="1">
      <alignment horizontal="center" vertical="bottom"/>
    </xf>
    <xf borderId="14" fillId="12" fontId="32" numFmtId="0" xfId="0" applyAlignment="1" applyBorder="1" applyFont="1">
      <alignment horizontal="center" vertical="bottom"/>
    </xf>
    <xf borderId="1" fillId="6" fontId="21" numFmtId="0" xfId="0" applyAlignment="1" applyBorder="1" applyFont="1">
      <alignment horizontal="center" readingOrder="0" shrinkToFit="0" vertical="bottom" wrapText="1"/>
    </xf>
    <xf borderId="4" fillId="6" fontId="27" numFmtId="1" xfId="0" applyAlignment="1" applyBorder="1" applyFont="1" applyNumberFormat="1">
      <alignment horizontal="center" vertical="bottom"/>
    </xf>
    <xf borderId="12" fillId="6" fontId="27" numFmtId="0" xfId="0" applyAlignment="1" applyBorder="1" applyFont="1">
      <alignment horizontal="center" readingOrder="0" shrinkToFit="0" vertical="bottom" wrapText="1"/>
    </xf>
    <xf borderId="6" fillId="6" fontId="27" numFmtId="1" xfId="0" applyAlignment="1" applyBorder="1" applyFont="1" applyNumberFormat="1">
      <alignment horizontal="center" vertical="bottom"/>
    </xf>
    <xf borderId="1" fillId="5" fontId="21" numFmtId="0" xfId="0" applyAlignment="1" applyBorder="1" applyFont="1">
      <alignment horizontal="center" readingOrder="0" shrinkToFit="0" vertical="bottom" wrapText="1"/>
    </xf>
    <xf borderId="4" fillId="5" fontId="27" numFmtId="0" xfId="0" applyAlignment="1" applyBorder="1" applyFont="1">
      <alignment horizontal="center" vertical="bottom"/>
    </xf>
    <xf borderId="4" fillId="5" fontId="27" numFmtId="0" xfId="0" applyAlignment="1" applyBorder="1" applyFont="1">
      <alignment horizontal="center" readingOrder="0" vertical="bottom"/>
    </xf>
    <xf borderId="4" fillId="5" fontId="27" numFmtId="1" xfId="0" applyAlignment="1" applyBorder="1" applyFont="1" applyNumberFormat="1">
      <alignment horizontal="center" vertical="bottom"/>
    </xf>
    <xf borderId="4" fillId="5" fontId="27" numFmtId="1" xfId="0" applyAlignment="1" applyBorder="1" applyFont="1" applyNumberFormat="1">
      <alignment horizontal="center" vertical="bottom"/>
    </xf>
    <xf borderId="4" fillId="6" fontId="27" numFmtId="0" xfId="0" applyAlignment="1" applyBorder="1" applyFont="1">
      <alignment horizontal="center" readingOrder="0" vertical="bottom"/>
    </xf>
    <xf borderId="0" fillId="0" fontId="34" numFmtId="0" xfId="0" applyFont="1"/>
    <xf borderId="1" fillId="13" fontId="24" numFmtId="0" xfId="0" applyAlignment="1" applyBorder="1" applyFill="1" applyFont="1">
      <alignment horizontal="center" readingOrder="0" shrinkToFit="0" vertical="center" wrapText="1"/>
    </xf>
    <xf borderId="16" fillId="13" fontId="21" numFmtId="0" xfId="0" applyAlignment="1" applyBorder="1" applyFont="1">
      <alignment horizontal="center" vertical="bottom"/>
    </xf>
    <xf borderId="0" fillId="13" fontId="21" numFmtId="0" xfId="0" applyAlignment="1" applyFont="1">
      <alignment horizontal="center" vertical="bottom"/>
    </xf>
    <xf borderId="16" fillId="13" fontId="27" numFmtId="0" xfId="0" applyAlignment="1" applyBorder="1" applyFont="1">
      <alignment horizontal="center" vertical="bottom"/>
    </xf>
    <xf borderId="0" fillId="13" fontId="27" numFmtId="0" xfId="0" applyAlignment="1" applyFont="1">
      <alignment horizontal="center" vertical="bottom"/>
    </xf>
    <xf borderId="1" fillId="13" fontId="25" numFmtId="0" xfId="0" applyAlignment="1" applyBorder="1" applyFont="1">
      <alignment horizontal="center" readingOrder="0" shrinkToFit="0" vertical="bottom" wrapText="1"/>
    </xf>
    <xf borderId="4" fillId="13" fontId="25" numFmtId="1" xfId="0" applyAlignment="1" applyBorder="1" applyFont="1" applyNumberFormat="1">
      <alignment horizontal="center" readingOrder="0" vertical="bottom"/>
    </xf>
    <xf borderId="4" fillId="10" fontId="33" numFmtId="1" xfId="0" applyAlignment="1" applyBorder="1" applyFont="1" applyNumberFormat="1">
      <alignment horizontal="center" readingOrder="0" vertical="bottom"/>
    </xf>
    <xf borderId="12" fillId="13" fontId="27" numFmtId="0" xfId="0" applyAlignment="1" applyBorder="1" applyFont="1">
      <alignment horizontal="center" vertical="bottom"/>
    </xf>
    <xf borderId="14" fillId="13" fontId="27" numFmtId="0" xfId="0" applyAlignment="1" applyBorder="1" applyFont="1">
      <alignment horizontal="center" vertical="bottom"/>
    </xf>
    <xf borderId="1" fillId="6" fontId="27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shrinkToFit="0" wrapText="1"/>
    </xf>
    <xf borderId="0" fillId="0" fontId="37" numFmtId="0" xfId="0" applyFont="1"/>
    <xf borderId="1" fillId="14" fontId="38" numFmtId="0" xfId="0" applyAlignment="1" applyBorder="1" applyFill="1" applyFont="1">
      <alignment horizontal="center" readingOrder="0" shrinkToFit="0" vertical="center" wrapText="1"/>
    </xf>
    <xf borderId="16" fillId="14" fontId="34" numFmtId="0" xfId="0" applyBorder="1" applyFont="1"/>
    <xf borderId="0" fillId="14" fontId="34" numFmtId="0" xfId="0" applyFont="1"/>
    <xf borderId="16" fillId="14" fontId="27" numFmtId="0" xfId="0" applyAlignment="1" applyBorder="1" applyFont="1">
      <alignment vertical="bottom"/>
    </xf>
    <xf borderId="0" fillId="14" fontId="27" numFmtId="0" xfId="0" applyAlignment="1" applyFont="1">
      <alignment vertical="bottom"/>
    </xf>
    <xf borderId="0" fillId="0" fontId="4" numFmtId="3" xfId="0" applyFont="1" applyNumberFormat="1"/>
    <xf borderId="6" fillId="6" fontId="27" numFmtId="0" xfId="0" applyAlignment="1" applyBorder="1" applyFont="1">
      <alignment horizontal="center" vertical="bottom"/>
    </xf>
    <xf borderId="0" fillId="0" fontId="4" numFmtId="0" xfId="0" applyFont="1"/>
    <xf borderId="1" fillId="14" fontId="6" numFmtId="0" xfId="0" applyAlignment="1" applyBorder="1" applyFont="1">
      <alignment horizontal="center" readingOrder="0" shrinkToFit="0" vertical="bottom" wrapText="1"/>
    </xf>
    <xf borderId="4" fillId="14" fontId="6" numFmtId="1" xfId="0" applyAlignment="1" applyBorder="1" applyFont="1" applyNumberFormat="1">
      <alignment horizontal="center" readingOrder="0" vertical="bottom"/>
    </xf>
    <xf borderId="4" fillId="10" fontId="32" numFmtId="0" xfId="0" applyAlignment="1" applyBorder="1" applyFont="1">
      <alignment horizontal="center" vertical="bottom"/>
    </xf>
    <xf borderId="4" fillId="10" fontId="33" numFmtId="0" xfId="0" applyAlignment="1" applyBorder="1" applyFont="1">
      <alignment horizontal="center" vertical="bottom"/>
    </xf>
    <xf borderId="4" fillId="10" fontId="39" numFmtId="0" xfId="0" applyAlignment="1" applyBorder="1" applyFont="1">
      <alignment horizontal="center" vertical="bottom"/>
    </xf>
    <xf borderId="1" fillId="10" fontId="33" numFmtId="0" xfId="0" applyAlignment="1" applyBorder="1" applyFont="1">
      <alignment horizontal="center" vertical="bottom"/>
    </xf>
    <xf borderId="0" fillId="0" fontId="27" numFmtId="0" xfId="0" applyAlignment="1" applyFont="1">
      <alignment horizontal="left" readingOrder="0" vertical="bottom"/>
    </xf>
    <xf borderId="0" fillId="0" fontId="40" numFmtId="0" xfId="0" applyAlignment="1" applyFont="1">
      <alignment horizontal="right" readingOrder="0" vertical="center"/>
    </xf>
    <xf borderId="0" fillId="0" fontId="41" numFmtId="0" xfId="0" applyAlignment="1" applyFont="1">
      <alignment horizontal="center" readingOrder="0" vertical="center"/>
    </xf>
    <xf borderId="1" fillId="15" fontId="24" numFmtId="0" xfId="0" applyAlignment="1" applyBorder="1" applyFill="1" applyFont="1">
      <alignment horizontal="center" readingOrder="0" shrinkToFit="0" vertical="center" wrapText="1"/>
    </xf>
    <xf borderId="16" fillId="15" fontId="32" numFmtId="0" xfId="0" applyAlignment="1" applyBorder="1" applyFont="1">
      <alignment horizontal="center" vertical="bottom"/>
    </xf>
    <xf borderId="0" fillId="15" fontId="32" numFmtId="0" xfId="0" applyAlignment="1" applyFont="1">
      <alignment horizontal="center" vertical="bottom"/>
    </xf>
    <xf borderId="1" fillId="15" fontId="25" numFmtId="0" xfId="0" applyAlignment="1" applyBorder="1" applyFont="1">
      <alignment horizontal="center" readingOrder="0" shrinkToFit="0" vertical="bottom" wrapText="1"/>
    </xf>
    <xf borderId="4" fillId="15" fontId="25" numFmtId="1" xfId="0" applyAlignment="1" applyBorder="1" applyFont="1" applyNumberFormat="1">
      <alignment horizontal="center" readingOrder="0" vertical="bottom"/>
    </xf>
    <xf borderId="4" fillId="10" fontId="36" numFmtId="0" xfId="0" applyAlignment="1" applyBorder="1" applyFont="1">
      <alignment horizontal="center" vertical="bottom"/>
    </xf>
    <xf borderId="4" fillId="10" fontId="31" numFmtId="0" xfId="0" applyAlignment="1" applyBorder="1" applyFont="1">
      <alignment horizontal="center" vertical="bottom"/>
    </xf>
    <xf borderId="1" fillId="16" fontId="24" numFmtId="0" xfId="0" applyAlignment="1" applyBorder="1" applyFill="1" applyFont="1">
      <alignment horizontal="center" readingOrder="0" shrinkToFit="0" vertical="center" wrapText="1"/>
    </xf>
    <xf borderId="16" fillId="16" fontId="21" numFmtId="0" xfId="0" applyAlignment="1" applyBorder="1" applyFont="1">
      <alignment horizontal="center" vertical="bottom"/>
    </xf>
    <xf borderId="0" fillId="16" fontId="21" numFmtId="0" xfId="0" applyAlignment="1" applyFont="1">
      <alignment horizontal="center" vertical="bottom"/>
    </xf>
    <xf borderId="16" fillId="16" fontId="27" numFmtId="0" xfId="0" applyAlignment="1" applyBorder="1" applyFont="1">
      <alignment horizontal="center" vertical="bottom"/>
    </xf>
    <xf borderId="0" fillId="16" fontId="27" numFmtId="0" xfId="0" applyAlignment="1" applyFont="1">
      <alignment horizontal="center" vertical="bottom"/>
    </xf>
    <xf borderId="1" fillId="16" fontId="25" numFmtId="0" xfId="0" applyAlignment="1" applyBorder="1" applyFont="1">
      <alignment horizontal="center" readingOrder="0" shrinkToFit="0" vertical="bottom" wrapText="1"/>
    </xf>
    <xf borderId="4" fillId="16" fontId="25" numFmtId="1" xfId="0" applyAlignment="1" applyBorder="1" applyFont="1" applyNumberFormat="1">
      <alignment horizontal="center" readingOrder="0" vertical="bottom"/>
    </xf>
    <xf borderId="4" fillId="10" fontId="39" numFmtId="1" xfId="0" applyAlignment="1" applyBorder="1" applyFont="1" applyNumberFormat="1">
      <alignment horizontal="center" vertical="bottom"/>
    </xf>
    <xf borderId="12" fillId="16" fontId="27" numFmtId="0" xfId="0" applyAlignment="1" applyBorder="1" applyFont="1">
      <alignment horizontal="center" vertical="bottom"/>
    </xf>
    <xf borderId="14" fillId="16" fontId="27" numFmtId="0" xfId="0" applyAlignment="1" applyBorder="1" applyFont="1">
      <alignment horizontal="center" vertical="bottom"/>
    </xf>
    <xf borderId="0" fillId="10" fontId="1" numFmtId="0" xfId="0" applyAlignment="1" applyFont="1">
      <alignment horizontal="center" readingOrder="0" vertical="center"/>
    </xf>
    <xf borderId="1" fillId="5" fontId="16" numFmtId="0" xfId="0" applyAlignment="1" applyBorder="1" applyFont="1">
      <alignment horizontal="center" readingOrder="0" vertical="bottom"/>
    </xf>
    <xf borderId="1" fillId="10" fontId="42" numFmtId="0" xfId="0" applyAlignment="1" applyBorder="1" applyFont="1">
      <alignment horizontal="center" readingOrder="0" vertical="bottom"/>
    </xf>
    <xf borderId="1" fillId="4" fontId="42" numFmtId="0" xfId="0" applyAlignment="1" applyBorder="1" applyFont="1">
      <alignment horizontal="center" readingOrder="0" vertical="bottom"/>
    </xf>
    <xf borderId="1" fillId="3" fontId="42" numFmtId="0" xfId="0" applyAlignment="1" applyBorder="1" applyFont="1">
      <alignment horizontal="center" readingOrder="0" vertical="bottom"/>
    </xf>
    <xf borderId="1" fillId="17" fontId="42" numFmtId="0" xfId="0" applyAlignment="1" applyBorder="1" applyFill="1" applyFont="1">
      <alignment horizontal="center" readingOrder="0" vertical="bottom"/>
    </xf>
    <xf borderId="4" fillId="10" fontId="43" numFmtId="0" xfId="0" applyAlignment="1" applyBorder="1" applyFont="1">
      <alignment readingOrder="0"/>
    </xf>
    <xf borderId="4" fillId="4" fontId="43" numFmtId="0" xfId="0" applyAlignment="1" applyBorder="1" applyFont="1">
      <alignment readingOrder="0"/>
    </xf>
    <xf borderId="4" fillId="3" fontId="43" numFmtId="0" xfId="0" applyAlignment="1" applyBorder="1" applyFont="1">
      <alignment horizontal="center" readingOrder="0"/>
    </xf>
    <xf borderId="1" fillId="3" fontId="43" numFmtId="0" xfId="0" applyAlignment="1" applyBorder="1" applyFont="1">
      <alignment horizontal="center" readingOrder="0"/>
    </xf>
    <xf borderId="4" fillId="3" fontId="43" numFmtId="0" xfId="0" applyAlignment="1" applyBorder="1" applyFont="1">
      <alignment readingOrder="0"/>
    </xf>
    <xf borderId="1" fillId="17" fontId="43" numFmtId="0" xfId="0" applyAlignment="1" applyBorder="1" applyFont="1">
      <alignment horizontal="center" readingOrder="0"/>
    </xf>
    <xf borderId="5" fillId="5" fontId="16" numFmtId="0" xfId="0" applyAlignment="1" applyBorder="1" applyFont="1">
      <alignment horizontal="center" readingOrder="0" shrinkToFit="0" vertical="center" wrapText="1"/>
    </xf>
    <xf borderId="4" fillId="14" fontId="16" numFmtId="0" xfId="0" applyAlignment="1" applyBorder="1" applyFont="1">
      <alignment horizontal="center" shrinkToFit="0" vertical="bottom" wrapText="1"/>
    </xf>
    <xf borderId="4" fillId="14" fontId="18" numFmtId="1" xfId="0" applyAlignment="1" applyBorder="1" applyFont="1" applyNumberFormat="1">
      <alignment vertical="bottom"/>
    </xf>
    <xf borderId="4" fillId="14" fontId="7" numFmtId="1" xfId="0" applyAlignment="1" applyBorder="1" applyFont="1" applyNumberFormat="1">
      <alignment horizontal="center" vertical="bottom"/>
    </xf>
    <xf borderId="1" fillId="14" fontId="7" numFmtId="1" xfId="0" applyAlignment="1" applyBorder="1" applyFont="1" applyNumberFormat="1">
      <alignment horizontal="center" vertical="bottom"/>
    </xf>
    <xf borderId="4" fillId="14" fontId="7" numFmtId="0" xfId="0" applyAlignment="1" applyBorder="1" applyFont="1">
      <alignment horizontal="center" readingOrder="0" vertical="bottom"/>
    </xf>
    <xf borderId="4" fillId="15" fontId="19" numFmtId="0" xfId="0" applyAlignment="1" applyBorder="1" applyFont="1">
      <alignment horizontal="center" vertical="bottom"/>
    </xf>
    <xf borderId="4" fillId="15" fontId="44" numFmtId="1" xfId="0" applyAlignment="1" applyBorder="1" applyFont="1" applyNumberFormat="1">
      <alignment vertical="bottom"/>
    </xf>
    <xf borderId="4" fillId="15" fontId="45" numFmtId="1" xfId="0" applyAlignment="1" applyBorder="1" applyFont="1" applyNumberFormat="1">
      <alignment horizontal="center" vertical="bottom"/>
    </xf>
    <xf borderId="4" fillId="15" fontId="45" numFmtId="0" xfId="0" applyAlignment="1" applyBorder="1" applyFont="1">
      <alignment horizontal="center" readingOrder="0" vertical="bottom"/>
    </xf>
    <xf borderId="1" fillId="15" fontId="45" numFmtId="1" xfId="0" applyAlignment="1" applyBorder="1" applyFont="1" applyNumberFormat="1">
      <alignment horizontal="center" vertical="bottom"/>
    </xf>
    <xf borderId="0" fillId="0" fontId="16" numFmtId="0" xfId="0" applyAlignment="1" applyFont="1">
      <alignment horizontal="center"/>
    </xf>
    <xf borderId="18" fillId="0" fontId="46" numFmtId="0" xfId="0" applyAlignment="1" applyBorder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21" fillId="18" fontId="47" numFmtId="0" xfId="0" applyAlignment="1" applyBorder="1" applyFill="1" applyFont="1">
      <alignment horizontal="center"/>
    </xf>
    <xf borderId="22" fillId="0" fontId="3" numFmtId="0" xfId="0" applyBorder="1" applyFont="1"/>
    <xf borderId="23" fillId="0" fontId="3" numFmtId="0" xfId="0" applyBorder="1" applyFont="1"/>
    <xf borderId="24" fillId="18" fontId="48" numFmtId="0" xfId="0" applyAlignment="1" applyBorder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27" fillId="19" fontId="49" numFmtId="0" xfId="0" applyAlignment="1" applyBorder="1" applyFill="1" applyFont="1">
      <alignment horizontal="center" vertical="bottom"/>
    </xf>
    <xf borderId="28" fillId="0" fontId="3" numFmtId="0" xfId="0" applyBorder="1" applyFont="1"/>
    <xf borderId="29" fillId="19" fontId="49" numFmtId="0" xfId="0" applyAlignment="1" applyBorder="1" applyFont="1">
      <alignment horizontal="center" vertical="bottom"/>
    </xf>
    <xf borderId="29" fillId="19" fontId="49" numFmtId="0" xfId="0" applyAlignment="1" applyBorder="1" applyFont="1">
      <alignment horizontal="center" shrinkToFit="0" vertical="bottom" wrapText="1"/>
    </xf>
    <xf borderId="29" fillId="19" fontId="14" numFmtId="0" xfId="0" applyAlignment="1" applyBorder="1" applyFont="1">
      <alignment horizontal="center" shrinkToFit="0" vertical="bottom" wrapText="1"/>
    </xf>
    <xf borderId="29" fillId="20" fontId="14" numFmtId="0" xfId="0" applyAlignment="1" applyBorder="1" applyFill="1" applyFont="1">
      <alignment horizontal="center" shrinkToFit="0" wrapText="1"/>
    </xf>
    <xf borderId="0" fillId="11" fontId="14" numFmtId="0" xfId="0" applyFont="1"/>
    <xf borderId="0" fillId="11" fontId="14" numFmtId="0" xfId="0" applyAlignment="1" applyFont="1">
      <alignment vertical="bottom"/>
    </xf>
    <xf borderId="4" fillId="19" fontId="49" numFmtId="2" xfId="0" applyAlignment="1" applyBorder="1" applyFont="1" applyNumberFormat="1">
      <alignment horizontal="center" shrinkToFit="0" wrapText="1"/>
    </xf>
    <xf borderId="4" fillId="21" fontId="49" numFmtId="0" xfId="0" applyAlignment="1" applyBorder="1" applyFill="1" applyFont="1">
      <alignment horizontal="center" shrinkToFit="0" wrapText="1"/>
    </xf>
    <xf borderId="4" fillId="21" fontId="14" numFmtId="0" xfId="0" applyAlignment="1" applyBorder="1" applyFont="1">
      <alignment horizontal="center" shrinkToFit="0" wrapText="1"/>
    </xf>
    <xf borderId="29" fillId="19" fontId="50" numFmtId="1" xfId="0" applyAlignment="1" applyBorder="1" applyFont="1" applyNumberFormat="1">
      <alignment horizontal="center" vertical="bottom"/>
    </xf>
    <xf borderId="29" fillId="19" fontId="14" numFmtId="0" xfId="0" applyAlignment="1" applyBorder="1" applyFont="1">
      <alignment vertical="bottom"/>
    </xf>
    <xf borderId="29" fillId="19" fontId="14" numFmtId="0" xfId="0" applyAlignment="1" applyBorder="1" applyFont="1">
      <alignment horizontal="right" vertical="bottom"/>
    </xf>
    <xf borderId="29" fillId="20" fontId="14" numFmtId="1" xfId="0" applyAlignment="1" applyBorder="1" applyFont="1" applyNumberFormat="1">
      <alignment horizontal="right" vertical="bottom"/>
    </xf>
    <xf borderId="4" fillId="19" fontId="14" numFmtId="1" xfId="0" applyAlignment="1" applyBorder="1" applyFont="1" applyNumberFormat="1">
      <alignment vertical="bottom"/>
    </xf>
    <xf borderId="29" fillId="19" fontId="51" numFmtId="1" xfId="0" applyAlignment="1" applyBorder="1" applyFont="1" applyNumberFormat="1">
      <alignment horizontal="right" vertical="bottom"/>
    </xf>
    <xf borderId="4" fillId="21" fontId="14" numFmtId="4" xfId="0" applyAlignment="1" applyBorder="1" applyFont="1" applyNumberFormat="1">
      <alignment horizontal="right" vertical="bottom"/>
    </xf>
    <xf borderId="4" fillId="21" fontId="14" numFmtId="0" xfId="0" applyAlignment="1" applyBorder="1" applyFont="1">
      <alignment horizontal="right" vertical="bottom"/>
    </xf>
    <xf borderId="0" fillId="0" fontId="51" numFmtId="0" xfId="0" applyAlignment="1" applyFont="1">
      <alignment vertical="bottom"/>
    </xf>
    <xf borderId="4" fillId="19" fontId="14" numFmtId="0" xfId="0" applyAlignment="1" applyBorder="1" applyFont="1">
      <alignment vertical="bottom"/>
    </xf>
    <xf borderId="30" fillId="18" fontId="47" numFmtId="0" xfId="0" applyAlignment="1" applyBorder="1" applyFont="1">
      <alignment horizontal="center"/>
    </xf>
    <xf borderId="31" fillId="0" fontId="3" numFmtId="0" xfId="0" applyBorder="1" applyFont="1"/>
    <xf borderId="12" fillId="22" fontId="52" numFmtId="0" xfId="0" applyAlignment="1" applyBorder="1" applyFill="1" applyFont="1">
      <alignment horizontal="center" vertical="bottom"/>
    </xf>
    <xf borderId="14" fillId="0" fontId="3" numFmtId="0" xfId="0" applyBorder="1" applyFont="1"/>
    <xf borderId="1" fillId="23" fontId="52" numFmtId="0" xfId="0" applyAlignment="1" applyBorder="1" applyFill="1" applyFont="1">
      <alignment horizontal="center" vertical="bottom"/>
    </xf>
    <xf borderId="1" fillId="19" fontId="49" numFmtId="2" xfId="0" applyAlignment="1" applyBorder="1" applyFont="1" applyNumberFormat="1">
      <alignment horizontal="center" shrinkToFit="0" wrapText="1"/>
    </xf>
    <xf borderId="4" fillId="24" fontId="49" numFmtId="2" xfId="0" applyAlignment="1" applyBorder="1" applyFill="1" applyFont="1" applyNumberFormat="1">
      <alignment horizontal="center" shrinkToFit="0" wrapText="1"/>
    </xf>
    <xf borderId="4" fillId="21" fontId="49" numFmtId="2" xfId="0" applyAlignment="1" applyBorder="1" applyFont="1" applyNumberFormat="1">
      <alignment horizontal="center" shrinkToFit="0" wrapText="1"/>
    </xf>
    <xf borderId="4" fillId="20" fontId="49" numFmtId="2" xfId="0" applyAlignment="1" applyBorder="1" applyFont="1" applyNumberFormat="1">
      <alignment horizontal="center" shrinkToFit="0" wrapText="1"/>
    </xf>
    <xf borderId="4" fillId="24" fontId="14" numFmtId="2" xfId="0" applyAlignment="1" applyBorder="1" applyFont="1" applyNumberFormat="1">
      <alignment horizontal="center" shrinkToFit="0" wrapText="1"/>
    </xf>
    <xf borderId="4" fillId="21" fontId="14" numFmtId="2" xfId="0" applyAlignment="1" applyBorder="1" applyFont="1" applyNumberFormat="1">
      <alignment horizontal="center" shrinkToFit="0" wrapText="1"/>
    </xf>
    <xf borderId="4" fillId="24" fontId="49" numFmtId="0" xfId="0" applyAlignment="1" applyBorder="1" applyFont="1">
      <alignment horizontal="center" shrinkToFit="0" wrapText="1"/>
    </xf>
    <xf borderId="1" fillId="21" fontId="49" numFmtId="0" xfId="0" applyAlignment="1" applyBorder="1" applyFont="1">
      <alignment horizontal="center" shrinkToFit="0" wrapText="1"/>
    </xf>
    <xf borderId="4" fillId="19" fontId="50" numFmtId="1" xfId="0" applyAlignment="1" applyBorder="1" applyFont="1" applyNumberFormat="1">
      <alignment horizontal="center"/>
    </xf>
    <xf borderId="4" fillId="19" fontId="14" numFmtId="1" xfId="0" applyAlignment="1" applyBorder="1" applyFont="1" applyNumberFormat="1">
      <alignment horizontal="right" vertical="bottom"/>
    </xf>
    <xf borderId="4" fillId="24" fontId="14" numFmtId="1" xfId="0" applyAlignment="1" applyBorder="1" applyFont="1" applyNumberFormat="1">
      <alignment horizontal="right" vertical="bottom"/>
    </xf>
    <xf borderId="4" fillId="24" fontId="14" numFmtId="2" xfId="0" applyAlignment="1" applyBorder="1" applyFont="1" applyNumberFormat="1">
      <alignment horizontal="right" vertical="bottom"/>
    </xf>
    <xf borderId="4" fillId="21" fontId="14" numFmtId="2" xfId="0" applyAlignment="1" applyBorder="1" applyFont="1" applyNumberFormat="1">
      <alignment horizontal="right" vertical="bottom"/>
    </xf>
    <xf borderId="4" fillId="21" fontId="51" numFmtId="1" xfId="0" applyAlignment="1" applyBorder="1" applyFont="1" applyNumberFormat="1">
      <alignment horizontal="center"/>
    </xf>
    <xf borderId="4" fillId="20" fontId="14" numFmtId="1" xfId="0" applyAlignment="1" applyBorder="1" applyFont="1" applyNumberFormat="1">
      <alignment horizontal="right" vertical="bottom"/>
    </xf>
    <xf borderId="4" fillId="21" fontId="14" numFmtId="1" xfId="0" applyAlignment="1" applyBorder="1" applyFont="1" applyNumberFormat="1">
      <alignment horizontal="right" vertical="bottom"/>
    </xf>
    <xf borderId="4" fillId="21" fontId="14" numFmtId="9" xfId="0" applyAlignment="1" applyBorder="1" applyFont="1" applyNumberFormat="1">
      <alignment horizontal="right" vertical="bottom"/>
    </xf>
    <xf borderId="1" fillId="21" fontId="14" numFmtId="0" xfId="0" applyAlignment="1" applyBorder="1" applyFont="1">
      <alignment horizontal="right" vertical="bottom"/>
    </xf>
    <xf borderId="0" fillId="0" fontId="14" numFmtId="0" xfId="0" applyFont="1"/>
    <xf borderId="18" fillId="0" fontId="53" numFmtId="0" xfId="0" applyAlignment="1" applyBorder="1" applyFont="1">
      <alignment horizontal="center"/>
    </xf>
    <xf borderId="21" fillId="0" fontId="3" numFmtId="0" xfId="0" applyBorder="1" applyFont="1"/>
    <xf borderId="32" fillId="19" fontId="49" numFmtId="0" xfId="0" applyAlignment="1" applyBorder="1" applyFont="1">
      <alignment horizontal="center" vertical="bottom"/>
    </xf>
    <xf borderId="32" fillId="19" fontId="49" numFmtId="0" xfId="0" applyAlignment="1" applyBorder="1" applyFont="1">
      <alignment horizontal="center" shrinkToFit="0" vertical="bottom" wrapText="1"/>
    </xf>
    <xf borderId="32" fillId="19" fontId="14" numFmtId="0" xfId="0" applyAlignment="1" applyBorder="1" applyFont="1">
      <alignment horizontal="center" shrinkToFit="0" vertical="bottom" wrapText="1"/>
    </xf>
    <xf borderId="32" fillId="20" fontId="14" numFmtId="0" xfId="0" applyAlignment="1" applyBorder="1" applyFont="1">
      <alignment horizontal="center" shrinkToFit="0" wrapText="1"/>
    </xf>
    <xf borderId="0" fillId="12" fontId="14" numFmtId="0" xfId="0" applyAlignment="1" applyFont="1">
      <alignment vertical="bottom"/>
    </xf>
    <xf borderId="0" fillId="12" fontId="14" numFmtId="0" xfId="0" applyFont="1"/>
    <xf borderId="32" fillId="19" fontId="14" numFmtId="0" xfId="0" applyAlignment="1" applyBorder="1" applyFont="1">
      <alignment vertical="bottom"/>
    </xf>
    <xf borderId="32" fillId="19" fontId="14" numFmtId="0" xfId="0" applyAlignment="1" applyBorder="1" applyFont="1">
      <alignment horizontal="right" vertical="bottom"/>
    </xf>
    <xf borderId="32" fillId="20" fontId="14" numFmtId="1" xfId="0" applyAlignment="1" applyBorder="1" applyFont="1" applyNumberFormat="1">
      <alignment horizontal="right" vertical="bottom"/>
    </xf>
    <xf borderId="5" fillId="19" fontId="50" numFmtId="1" xfId="0" applyAlignment="1" applyBorder="1" applyFont="1" applyNumberFormat="1">
      <alignment horizontal="center"/>
    </xf>
    <xf borderId="33" fillId="19" fontId="14" numFmtId="0" xfId="0" applyAlignment="1" applyBorder="1" applyFont="1">
      <alignment vertical="bottom"/>
    </xf>
    <xf borderId="33" fillId="19" fontId="14" numFmtId="0" xfId="0" applyAlignment="1" applyBorder="1" applyFont="1">
      <alignment horizontal="right" vertical="bottom"/>
    </xf>
    <xf borderId="5" fillId="21" fontId="14" numFmtId="4" xfId="0" applyAlignment="1" applyBorder="1" applyFont="1" applyNumberFormat="1">
      <alignment horizontal="right" vertical="bottom"/>
    </xf>
    <xf borderId="5" fillId="24" fontId="14" numFmtId="1" xfId="0" applyAlignment="1" applyBorder="1" applyFont="1" applyNumberFormat="1">
      <alignment horizontal="right" vertical="bottom"/>
    </xf>
    <xf borderId="5" fillId="21" fontId="14" numFmtId="2" xfId="0" applyAlignment="1" applyBorder="1" applyFont="1" applyNumberFormat="1">
      <alignment horizontal="right" vertical="bottom"/>
    </xf>
    <xf borderId="5" fillId="21" fontId="51" numFmtId="1" xfId="0" applyAlignment="1" applyBorder="1" applyFont="1" applyNumberFormat="1">
      <alignment horizontal="center"/>
    </xf>
    <xf borderId="5" fillId="20" fontId="14" numFmtId="1" xfId="0" applyAlignment="1" applyBorder="1" applyFont="1" applyNumberFormat="1">
      <alignment horizontal="right" vertical="bottom"/>
    </xf>
    <xf borderId="5" fillId="21" fontId="14" numFmtId="1" xfId="0" applyAlignment="1" applyBorder="1" applyFont="1" applyNumberFormat="1">
      <alignment horizontal="right" vertical="bottom"/>
    </xf>
    <xf borderId="5" fillId="21" fontId="14" numFmtId="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733425</xdr:colOff>
      <xdr:row>1</xdr:row>
      <xdr:rowOff>219075</xdr:rowOff>
    </xdr:from>
    <xdr:ext cx="4876800" cy="1087755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3" width="12.5"/>
    <col customWidth="1" min="4" max="10" width="12.25"/>
    <col customWidth="1" min="11" max="11" width="13.63"/>
    <col customWidth="1" min="12" max="15" width="12.25"/>
    <col customWidth="1" min="16" max="16" width="14.38"/>
  </cols>
  <sheetData>
    <row r="1">
      <c r="A1" s="1" t="s">
        <v>0</v>
      </c>
    </row>
    <row r="2" ht="34.5" customHeight="1">
      <c r="A2" s="2" t="s">
        <v>1</v>
      </c>
      <c r="B2" s="3"/>
      <c r="C2" s="4"/>
      <c r="D2" s="2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5"/>
      <c r="Q2" s="5"/>
      <c r="R2" s="5"/>
      <c r="S2" s="5"/>
      <c r="X2" s="5"/>
      <c r="Y2" s="5"/>
      <c r="Z2" s="5"/>
      <c r="AA2" s="5"/>
      <c r="AB2" s="5"/>
      <c r="AC2" s="5"/>
      <c r="AD2" s="5"/>
    </row>
    <row r="3">
      <c r="A3" s="6" t="s">
        <v>2</v>
      </c>
      <c r="B3" s="3"/>
      <c r="C3" s="4"/>
      <c r="D3" s="6" t="s">
        <v>3</v>
      </c>
      <c r="E3" s="3"/>
      <c r="F3" s="3"/>
      <c r="G3" s="4"/>
      <c r="H3" s="6" t="s">
        <v>4</v>
      </c>
      <c r="I3" s="3"/>
      <c r="J3" s="3"/>
      <c r="K3" s="4"/>
      <c r="L3" s="6" t="s">
        <v>5</v>
      </c>
      <c r="M3" s="3"/>
      <c r="N3" s="3"/>
      <c r="O3" s="4"/>
    </row>
    <row r="4">
      <c r="A4" s="7" t="s">
        <v>6</v>
      </c>
      <c r="B4" s="3"/>
      <c r="C4" s="4"/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T4" s="9"/>
      <c r="U4" s="9"/>
      <c r="V4" s="9"/>
      <c r="W4" s="9"/>
    </row>
    <row r="5">
      <c r="A5" s="10" t="s">
        <v>19</v>
      </c>
      <c r="B5" s="3"/>
      <c r="C5" s="4"/>
      <c r="D5" s="11">
        <v>45768.0</v>
      </c>
      <c r="E5" s="11">
        <v>45775.0</v>
      </c>
      <c r="F5" s="11">
        <v>45782.0</v>
      </c>
      <c r="G5" s="11">
        <v>45789.0</v>
      </c>
      <c r="H5" s="11">
        <v>45796.0</v>
      </c>
      <c r="I5" s="11">
        <v>45803.0</v>
      </c>
      <c r="J5" s="11">
        <v>45810.0</v>
      </c>
      <c r="K5" s="11">
        <v>45817.0</v>
      </c>
      <c r="L5" s="11">
        <v>45824.0</v>
      </c>
      <c r="M5" s="11">
        <v>45831.0</v>
      </c>
      <c r="N5" s="11">
        <v>45838.0</v>
      </c>
      <c r="O5" s="11">
        <v>45845.0</v>
      </c>
    </row>
    <row r="6">
      <c r="A6" s="12" t="s">
        <v>20</v>
      </c>
      <c r="B6" s="13" t="s">
        <v>21</v>
      </c>
      <c r="C6" s="14"/>
      <c r="D6" s="15">
        <f t="shared" ref="D6:O6" si="1">C96</f>
        <v>6774</v>
      </c>
      <c r="E6" s="15">
        <f t="shared" si="1"/>
        <v>5971</v>
      </c>
      <c r="F6" s="15">
        <f t="shared" si="1"/>
        <v>5857</v>
      </c>
      <c r="G6" s="15">
        <f t="shared" si="1"/>
        <v>6200</v>
      </c>
      <c r="H6" s="15">
        <f t="shared" si="1"/>
        <v>6774</v>
      </c>
      <c r="I6" s="15">
        <f t="shared" si="1"/>
        <v>5971</v>
      </c>
      <c r="J6" s="15">
        <f t="shared" si="1"/>
        <v>5857</v>
      </c>
      <c r="K6" s="15">
        <f t="shared" si="1"/>
        <v>6200</v>
      </c>
      <c r="L6" s="15">
        <f t="shared" si="1"/>
        <v>6774</v>
      </c>
      <c r="M6" s="15">
        <f t="shared" si="1"/>
        <v>5971</v>
      </c>
      <c r="N6" s="15">
        <f t="shared" si="1"/>
        <v>5857</v>
      </c>
      <c r="O6" s="15">
        <f t="shared" si="1"/>
        <v>6194</v>
      </c>
      <c r="P6" s="16"/>
    </row>
    <row r="7">
      <c r="A7" s="17"/>
      <c r="B7" s="18" t="s">
        <v>22</v>
      </c>
      <c r="C7" s="19"/>
      <c r="D7" s="20">
        <f t="shared" ref="D7:O7" si="2">C107</f>
        <v>3869</v>
      </c>
      <c r="E7" s="20">
        <f t="shared" si="2"/>
        <v>3938</v>
      </c>
      <c r="F7" s="20">
        <f t="shared" si="2"/>
        <v>3663</v>
      </c>
      <c r="G7" s="20">
        <f t="shared" si="2"/>
        <v>3732</v>
      </c>
      <c r="H7" s="20">
        <f t="shared" si="2"/>
        <v>3869</v>
      </c>
      <c r="I7" s="20">
        <f t="shared" si="2"/>
        <v>3938</v>
      </c>
      <c r="J7" s="20">
        <f t="shared" si="2"/>
        <v>3663</v>
      </c>
      <c r="K7" s="20">
        <f t="shared" si="2"/>
        <v>3732</v>
      </c>
      <c r="L7" s="20">
        <f t="shared" si="2"/>
        <v>3869</v>
      </c>
      <c r="M7" s="20">
        <f t="shared" si="2"/>
        <v>3938</v>
      </c>
      <c r="N7" s="20">
        <f t="shared" si="2"/>
        <v>3663</v>
      </c>
      <c r="O7" s="20">
        <f t="shared" si="2"/>
        <v>3726</v>
      </c>
    </row>
    <row r="8">
      <c r="A8" s="21" t="s">
        <v>23</v>
      </c>
      <c r="B8" s="22" t="s">
        <v>21</v>
      </c>
      <c r="C8" s="23"/>
      <c r="D8" s="24">
        <f t="shared" ref="D8:D9" si="4">C12+D10-D6</f>
        <v>26</v>
      </c>
      <c r="E8" s="24">
        <f t="shared" ref="E8:O8" si="3">D8+E10-E6</f>
        <v>255</v>
      </c>
      <c r="F8" s="24">
        <f t="shared" si="3"/>
        <v>598</v>
      </c>
      <c r="G8" s="24">
        <f t="shared" si="3"/>
        <v>598</v>
      </c>
      <c r="H8" s="24">
        <f t="shared" si="3"/>
        <v>24</v>
      </c>
      <c r="I8" s="24">
        <f t="shared" si="3"/>
        <v>253</v>
      </c>
      <c r="J8" s="24">
        <f t="shared" si="3"/>
        <v>596</v>
      </c>
      <c r="K8" s="24">
        <f t="shared" si="3"/>
        <v>596</v>
      </c>
      <c r="L8" s="24">
        <f t="shared" si="3"/>
        <v>22</v>
      </c>
      <c r="M8" s="24">
        <f t="shared" si="3"/>
        <v>251</v>
      </c>
      <c r="N8" s="24">
        <f t="shared" si="3"/>
        <v>594</v>
      </c>
      <c r="O8" s="24">
        <f t="shared" si="3"/>
        <v>0</v>
      </c>
    </row>
    <row r="9">
      <c r="A9" s="17"/>
      <c r="B9" s="25" t="s">
        <v>22</v>
      </c>
      <c r="C9" s="26"/>
      <c r="D9" s="27">
        <f t="shared" si="4"/>
        <v>171</v>
      </c>
      <c r="E9" s="27">
        <f t="shared" ref="E9:O9" si="5">D9+E11-E7</f>
        <v>33</v>
      </c>
      <c r="F9" s="27">
        <f t="shared" si="5"/>
        <v>170</v>
      </c>
      <c r="G9" s="27">
        <f t="shared" si="5"/>
        <v>238</v>
      </c>
      <c r="H9" s="27">
        <f t="shared" si="5"/>
        <v>169</v>
      </c>
      <c r="I9" s="27">
        <f t="shared" si="5"/>
        <v>31</v>
      </c>
      <c r="J9" s="27">
        <f t="shared" si="5"/>
        <v>168</v>
      </c>
      <c r="K9" s="27">
        <f t="shared" si="5"/>
        <v>236</v>
      </c>
      <c r="L9" s="27">
        <f t="shared" si="5"/>
        <v>167</v>
      </c>
      <c r="M9" s="27">
        <f t="shared" si="5"/>
        <v>29</v>
      </c>
      <c r="N9" s="27">
        <f t="shared" si="5"/>
        <v>166</v>
      </c>
      <c r="O9" s="27">
        <f t="shared" si="5"/>
        <v>0</v>
      </c>
      <c r="Q9" s="28"/>
    </row>
    <row r="10">
      <c r="A10" s="29" t="s">
        <v>24</v>
      </c>
      <c r="B10" s="13" t="s">
        <v>21</v>
      </c>
      <c r="C10" s="14"/>
      <c r="D10" s="30">
        <f>L$24/12</f>
        <v>6200</v>
      </c>
      <c r="E10" s="30">
        <f t="shared" ref="E10:N10" si="6">D10</f>
        <v>6200</v>
      </c>
      <c r="F10" s="30">
        <f t="shared" si="6"/>
        <v>6200</v>
      </c>
      <c r="G10" s="30">
        <f t="shared" si="6"/>
        <v>6200</v>
      </c>
      <c r="H10" s="30">
        <f t="shared" si="6"/>
        <v>6200</v>
      </c>
      <c r="I10" s="30">
        <f t="shared" si="6"/>
        <v>6200</v>
      </c>
      <c r="J10" s="30">
        <f t="shared" si="6"/>
        <v>6200</v>
      </c>
      <c r="K10" s="30">
        <f t="shared" si="6"/>
        <v>6200</v>
      </c>
      <c r="L10" s="30">
        <f t="shared" si="6"/>
        <v>6200</v>
      </c>
      <c r="M10" s="30">
        <f t="shared" si="6"/>
        <v>6200</v>
      </c>
      <c r="N10" s="30">
        <f t="shared" si="6"/>
        <v>6200</v>
      </c>
      <c r="O10" s="30">
        <f t="shared" ref="O10:O11" si="8">N10-C12</f>
        <v>5600</v>
      </c>
    </row>
    <row r="11">
      <c r="A11" s="17"/>
      <c r="B11" s="31" t="s">
        <v>25</v>
      </c>
      <c r="C11" s="19"/>
      <c r="D11" s="32">
        <f>L25/12</f>
        <v>3800</v>
      </c>
      <c r="E11" s="32">
        <f t="shared" ref="E11:N11" si="7">D11</f>
        <v>3800</v>
      </c>
      <c r="F11" s="32">
        <f t="shared" si="7"/>
        <v>3800</v>
      </c>
      <c r="G11" s="32">
        <f t="shared" si="7"/>
        <v>3800</v>
      </c>
      <c r="H11" s="32">
        <f t="shared" si="7"/>
        <v>3800</v>
      </c>
      <c r="I11" s="32">
        <f t="shared" si="7"/>
        <v>3800</v>
      </c>
      <c r="J11" s="32">
        <f t="shared" si="7"/>
        <v>3800</v>
      </c>
      <c r="K11" s="32">
        <f t="shared" si="7"/>
        <v>3800</v>
      </c>
      <c r="L11" s="32">
        <f t="shared" si="7"/>
        <v>3800</v>
      </c>
      <c r="M11" s="32">
        <f t="shared" si="7"/>
        <v>3800</v>
      </c>
      <c r="N11" s="32">
        <f t="shared" si="7"/>
        <v>3800</v>
      </c>
      <c r="O11" s="32">
        <f t="shared" si="8"/>
        <v>3560</v>
      </c>
    </row>
    <row r="12">
      <c r="A12" s="21" t="s">
        <v>26</v>
      </c>
      <c r="B12" s="22" t="s">
        <v>21</v>
      </c>
      <c r="C12" s="33">
        <v>600.0</v>
      </c>
      <c r="D12" s="23"/>
      <c r="E12" s="23"/>
      <c r="F12" s="23"/>
      <c r="G12" s="23"/>
      <c r="H12" s="23"/>
      <c r="I12" s="34"/>
      <c r="J12" s="34"/>
      <c r="K12" s="34"/>
      <c r="L12" s="34"/>
      <c r="M12" s="34"/>
      <c r="N12" s="34"/>
      <c r="O12" s="34"/>
      <c r="P12" s="35"/>
    </row>
    <row r="13">
      <c r="A13" s="17"/>
      <c r="B13" s="36" t="s">
        <v>25</v>
      </c>
      <c r="C13" s="37">
        <v>240.0</v>
      </c>
      <c r="D13" s="26"/>
      <c r="E13" s="26"/>
      <c r="F13" s="26"/>
      <c r="G13" s="26"/>
      <c r="H13" s="26"/>
      <c r="I13" s="38"/>
      <c r="J13" s="38"/>
      <c r="K13" s="38"/>
      <c r="L13" s="38"/>
      <c r="M13" s="38"/>
      <c r="N13" s="38"/>
      <c r="O13" s="38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ht="25.5" customHeight="1">
      <c r="A15" s="41" t="s">
        <v>27</v>
      </c>
    </row>
    <row r="16">
      <c r="A16" s="42" t="s">
        <v>28</v>
      </c>
      <c r="B16" s="3"/>
      <c r="C16" s="4"/>
      <c r="D16" s="43" t="s">
        <v>29</v>
      </c>
      <c r="E16" s="43" t="s">
        <v>30</v>
      </c>
      <c r="F16" s="43" t="s">
        <v>31</v>
      </c>
      <c r="G16" s="44" t="s">
        <v>32</v>
      </c>
      <c r="H16" s="44" t="s">
        <v>33</v>
      </c>
      <c r="I16" s="44" t="s">
        <v>34</v>
      </c>
      <c r="J16" s="44" t="s">
        <v>35</v>
      </c>
      <c r="K16" s="44" t="s">
        <v>36</v>
      </c>
      <c r="L16" s="44" t="s">
        <v>37</v>
      </c>
      <c r="M16" s="44" t="s">
        <v>38</v>
      </c>
      <c r="N16" s="44" t="s">
        <v>39</v>
      </c>
      <c r="O16" s="44" t="s">
        <v>40</v>
      </c>
    </row>
    <row r="17">
      <c r="A17" s="42" t="s">
        <v>41</v>
      </c>
      <c r="B17" s="3"/>
      <c r="C17" s="4"/>
      <c r="D17" s="45">
        <f t="shared" ref="D17:O17" si="9">D18+D19</f>
        <v>10000</v>
      </c>
      <c r="E17" s="45">
        <f t="shared" si="9"/>
        <v>10000</v>
      </c>
      <c r="F17" s="45">
        <f t="shared" si="9"/>
        <v>10000</v>
      </c>
      <c r="G17" s="45">
        <f t="shared" si="9"/>
        <v>10000</v>
      </c>
      <c r="H17" s="45">
        <f t="shared" si="9"/>
        <v>10000</v>
      </c>
      <c r="I17" s="45">
        <f t="shared" si="9"/>
        <v>10000</v>
      </c>
      <c r="J17" s="45">
        <f t="shared" si="9"/>
        <v>10000</v>
      </c>
      <c r="K17" s="45">
        <f t="shared" si="9"/>
        <v>10000</v>
      </c>
      <c r="L17" s="45">
        <f t="shared" si="9"/>
        <v>10000</v>
      </c>
      <c r="M17" s="45">
        <f t="shared" si="9"/>
        <v>10000</v>
      </c>
      <c r="N17" s="45">
        <f t="shared" si="9"/>
        <v>10000</v>
      </c>
      <c r="O17" s="45">
        <f t="shared" si="9"/>
        <v>9160</v>
      </c>
    </row>
    <row r="18">
      <c r="A18" s="42" t="s">
        <v>21</v>
      </c>
      <c r="B18" s="3"/>
      <c r="C18" s="4"/>
      <c r="D18" s="46">
        <f t="shared" ref="D18:O18" si="10">D10</f>
        <v>6200</v>
      </c>
      <c r="E18" s="46">
        <f t="shared" si="10"/>
        <v>6200</v>
      </c>
      <c r="F18" s="46">
        <f t="shared" si="10"/>
        <v>6200</v>
      </c>
      <c r="G18" s="46">
        <f t="shared" si="10"/>
        <v>6200</v>
      </c>
      <c r="H18" s="46">
        <f t="shared" si="10"/>
        <v>6200</v>
      </c>
      <c r="I18" s="46">
        <f t="shared" si="10"/>
        <v>6200</v>
      </c>
      <c r="J18" s="46">
        <f t="shared" si="10"/>
        <v>6200</v>
      </c>
      <c r="K18" s="46">
        <f t="shared" si="10"/>
        <v>6200</v>
      </c>
      <c r="L18" s="46">
        <f t="shared" si="10"/>
        <v>6200</v>
      </c>
      <c r="M18" s="46">
        <f t="shared" si="10"/>
        <v>6200</v>
      </c>
      <c r="N18" s="46">
        <f t="shared" si="10"/>
        <v>6200</v>
      </c>
      <c r="O18" s="46">
        <f t="shared" si="10"/>
        <v>5600</v>
      </c>
    </row>
    <row r="19" ht="42.0" customHeight="1">
      <c r="A19" s="42" t="s">
        <v>25</v>
      </c>
      <c r="B19" s="3"/>
      <c r="C19" s="4"/>
      <c r="D19" s="47">
        <f t="shared" ref="D19:O19" si="11">D11</f>
        <v>3800</v>
      </c>
      <c r="E19" s="47">
        <f t="shared" si="11"/>
        <v>3800</v>
      </c>
      <c r="F19" s="47">
        <f t="shared" si="11"/>
        <v>3800</v>
      </c>
      <c r="G19" s="47">
        <f t="shared" si="11"/>
        <v>3800</v>
      </c>
      <c r="H19" s="47">
        <f t="shared" si="11"/>
        <v>3800</v>
      </c>
      <c r="I19" s="47">
        <f t="shared" si="11"/>
        <v>3800</v>
      </c>
      <c r="J19" s="47">
        <f t="shared" si="11"/>
        <v>3800</v>
      </c>
      <c r="K19" s="47">
        <f t="shared" si="11"/>
        <v>3800</v>
      </c>
      <c r="L19" s="47">
        <f t="shared" si="11"/>
        <v>3800</v>
      </c>
      <c r="M19" s="47">
        <f t="shared" si="11"/>
        <v>3800</v>
      </c>
      <c r="N19" s="47">
        <f t="shared" si="11"/>
        <v>3800</v>
      </c>
      <c r="O19" s="47">
        <f t="shared" si="11"/>
        <v>3560</v>
      </c>
      <c r="Q19" s="28" t="s">
        <v>42</v>
      </c>
    </row>
    <row r="20">
      <c r="A20" s="48"/>
      <c r="B20" s="49"/>
      <c r="C20" s="49"/>
      <c r="D20" s="49"/>
      <c r="E20" s="49"/>
      <c r="F20" s="49"/>
      <c r="G20" s="35"/>
      <c r="H20" s="35"/>
      <c r="I20" s="35"/>
      <c r="J20" s="35"/>
      <c r="K20" s="35"/>
      <c r="L20" s="35"/>
      <c r="M20" s="35"/>
      <c r="N20" s="35"/>
      <c r="O20" s="35"/>
    </row>
    <row r="21" ht="42.0" customHeight="1">
      <c r="A21" s="50" t="s">
        <v>43</v>
      </c>
      <c r="E21" s="51" t="s">
        <v>44</v>
      </c>
      <c r="F21" s="52" t="s">
        <v>45</v>
      </c>
      <c r="H21" s="53" t="s">
        <v>46</v>
      </c>
      <c r="I21" s="54"/>
      <c r="J21" s="55" t="s">
        <v>47</v>
      </c>
      <c r="M21" s="54"/>
      <c r="P21" s="35"/>
    </row>
    <row r="22" ht="33.75" customHeight="1">
      <c r="A22" s="56"/>
      <c r="B22" s="56" t="s">
        <v>21</v>
      </c>
      <c r="C22" s="56" t="s">
        <v>25</v>
      </c>
      <c r="D22" s="57"/>
      <c r="E22" s="58"/>
      <c r="F22" s="56" t="s">
        <v>21</v>
      </c>
      <c r="G22" s="56" t="s">
        <v>25</v>
      </c>
      <c r="H22" s="59"/>
      <c r="I22" s="54"/>
      <c r="J22" s="60" t="s">
        <v>48</v>
      </c>
      <c r="K22" s="60" t="s">
        <v>49</v>
      </c>
      <c r="L22" s="60" t="s">
        <v>50</v>
      </c>
      <c r="M22" s="54"/>
      <c r="P22" s="35"/>
    </row>
    <row r="23" ht="32.25" customHeight="1">
      <c r="A23" s="61">
        <v>40000.0</v>
      </c>
      <c r="B23" s="62">
        <f>A23*62%</f>
        <v>24800</v>
      </c>
      <c r="C23" s="62">
        <f>A23*38%</f>
        <v>15200</v>
      </c>
      <c r="D23" s="57"/>
      <c r="E23" s="63" t="s">
        <v>51</v>
      </c>
      <c r="F23" s="56">
        <v>8000.0</v>
      </c>
      <c r="G23" s="56">
        <v>7000.0</v>
      </c>
      <c r="H23" s="64">
        <v>4.0</v>
      </c>
      <c r="I23" s="54"/>
      <c r="J23" s="65" t="s">
        <v>52</v>
      </c>
      <c r="K23" s="66">
        <f t="shared" ref="K23:L23" si="12">SUM(K24:K25)</f>
        <v>1</v>
      </c>
      <c r="L23" s="67">
        <f t="shared" si="12"/>
        <v>120000</v>
      </c>
      <c r="M23" s="68"/>
      <c r="P23" s="35"/>
      <c r="Q23" s="28" t="s">
        <v>53</v>
      </c>
    </row>
    <row r="24" ht="31.5" customHeight="1">
      <c r="A24" s="69" t="s">
        <v>54</v>
      </c>
      <c r="B24" s="70">
        <f>SUM(C62:F62)</f>
        <v>13336</v>
      </c>
      <c r="C24" s="71">
        <f>SUM(C73:F73)</f>
        <v>8336</v>
      </c>
      <c r="D24" s="57"/>
      <c r="E24" s="72" t="s">
        <v>55</v>
      </c>
      <c r="F24" s="70">
        <v>12000.0</v>
      </c>
      <c r="G24" s="70">
        <v>8000.0</v>
      </c>
      <c r="H24" s="73">
        <v>8.0</v>
      </c>
      <c r="I24" s="54"/>
      <c r="J24" s="65" t="s">
        <v>56</v>
      </c>
      <c r="K24" s="66">
        <f>L24/(A23*3)</f>
        <v>0.62</v>
      </c>
      <c r="L24" s="67">
        <f>B23*3</f>
        <v>74400</v>
      </c>
      <c r="M24" s="54"/>
      <c r="P24" s="35"/>
    </row>
    <row r="25" ht="34.5" customHeight="1">
      <c r="A25" s="74" t="s">
        <v>57</v>
      </c>
      <c r="B25" s="56">
        <f t="shared" ref="B25:C25" si="13">B23-B24</f>
        <v>11464</v>
      </c>
      <c r="C25" s="75">
        <f t="shared" si="13"/>
        <v>6864</v>
      </c>
      <c r="D25" s="57"/>
      <c r="E25" s="64" t="s">
        <v>58</v>
      </c>
      <c r="F25" s="56">
        <v>20000.0</v>
      </c>
      <c r="G25" s="56">
        <v>10000.0</v>
      </c>
      <c r="H25" s="64">
        <v>12.0</v>
      </c>
      <c r="I25" s="54"/>
      <c r="J25" s="76" t="s">
        <v>59</v>
      </c>
      <c r="K25" s="66">
        <f>L25/(A23*3)</f>
        <v>0.38</v>
      </c>
      <c r="L25" s="77">
        <f>C23*3</f>
        <v>45600</v>
      </c>
      <c r="M25" s="54"/>
      <c r="P25" s="35"/>
    </row>
    <row r="26">
      <c r="A26" s="78"/>
      <c r="D26" s="57"/>
      <c r="E26" s="79"/>
      <c r="I26" s="80"/>
      <c r="J26" s="81"/>
      <c r="P26" s="35"/>
    </row>
    <row r="27">
      <c r="P27" s="35"/>
    </row>
    <row r="29">
      <c r="G29" s="82" t="s">
        <v>60</v>
      </c>
      <c r="H29" s="83"/>
      <c r="I29" s="84">
        <f>D125+D126</f>
        <v>2000.2</v>
      </c>
      <c r="J29" s="83"/>
    </row>
    <row r="30">
      <c r="G30" s="82" t="s">
        <v>61</v>
      </c>
      <c r="H30" s="83"/>
      <c r="I30" s="85">
        <f>SUM(D17:G17)</f>
        <v>40000</v>
      </c>
      <c r="J30" s="83"/>
      <c r="P30" s="35"/>
    </row>
    <row r="31">
      <c r="G31" s="82" t="s">
        <v>62</v>
      </c>
      <c r="H31" s="83"/>
      <c r="I31" s="85">
        <f>N125+N126</f>
        <v>360000</v>
      </c>
      <c r="J31" s="83"/>
      <c r="P31" s="35"/>
    </row>
    <row r="32" ht="27.75" customHeight="1">
      <c r="P32" s="35"/>
    </row>
    <row r="33" ht="27.0" customHeight="1">
      <c r="P33" s="35"/>
    </row>
    <row r="34" ht="27.75" customHeight="1">
      <c r="A34" s="86" t="s">
        <v>63</v>
      </c>
      <c r="P34" s="35"/>
      <c r="V34" s="35"/>
    </row>
    <row r="35" ht="28.5" customHeight="1">
      <c r="A35" s="48"/>
      <c r="B35" s="49"/>
      <c r="C35" s="35"/>
      <c r="D35" s="35"/>
      <c r="E35" s="49"/>
      <c r="F35" s="35"/>
      <c r="G35" s="49"/>
      <c r="H35" s="35"/>
      <c r="I35" s="35"/>
      <c r="J35" s="35"/>
      <c r="K35" s="35"/>
      <c r="L35" s="35"/>
      <c r="M35" s="35"/>
      <c r="N35" s="35"/>
      <c r="O35" s="35"/>
      <c r="P35" s="35"/>
      <c r="V35" s="35"/>
    </row>
    <row r="36" ht="31.5" customHeight="1">
      <c r="A36" s="48"/>
      <c r="B36" s="49"/>
      <c r="C36" s="35"/>
      <c r="D36" s="35"/>
      <c r="E36" s="87" t="s">
        <v>64</v>
      </c>
      <c r="F36" s="88"/>
      <c r="G36" s="89" t="s">
        <v>65</v>
      </c>
      <c r="H36" s="90"/>
      <c r="I36" s="90"/>
      <c r="J36" s="90"/>
      <c r="K36" s="91"/>
      <c r="L36" s="49"/>
      <c r="M36" s="49"/>
      <c r="N36" s="49"/>
      <c r="O36" s="49"/>
      <c r="P36" s="35"/>
      <c r="V36" s="35"/>
    </row>
    <row r="37" ht="24.0" customHeight="1">
      <c r="A37" s="48"/>
      <c r="B37" s="49"/>
      <c r="C37" s="35"/>
      <c r="D37" s="35"/>
      <c r="E37" s="92"/>
      <c r="F37" s="93"/>
      <c r="G37" s="94" t="s">
        <v>66</v>
      </c>
      <c r="H37" s="95"/>
      <c r="I37" s="95"/>
      <c r="J37" s="95"/>
      <c r="K37" s="96"/>
      <c r="L37" s="49"/>
      <c r="M37" s="49"/>
      <c r="N37" s="49"/>
      <c r="O37" s="49"/>
      <c r="P37" s="35"/>
      <c r="V37" s="35"/>
    </row>
    <row r="38" ht="27.75" customHeight="1">
      <c r="A38" s="48"/>
      <c r="B38" s="49"/>
      <c r="C38" s="35"/>
      <c r="D38" s="35"/>
      <c r="E38" s="35"/>
      <c r="F38" s="35"/>
      <c r="G38" s="35"/>
      <c r="H38" s="35"/>
      <c r="I38" s="49"/>
      <c r="J38" s="49"/>
      <c r="K38" s="49"/>
      <c r="L38" s="49"/>
      <c r="M38" s="49"/>
      <c r="N38" s="49"/>
      <c r="O38" s="49"/>
      <c r="P38" s="35"/>
      <c r="V38" s="35"/>
    </row>
    <row r="39" ht="32.25" customHeight="1">
      <c r="P39" s="35"/>
      <c r="V39" s="35"/>
    </row>
    <row r="40">
      <c r="P40" s="35"/>
      <c r="V40" s="35"/>
    </row>
    <row r="41">
      <c r="A41" s="48"/>
      <c r="B41" s="49"/>
      <c r="C41" s="35"/>
      <c r="D41" s="35"/>
      <c r="E41" s="35"/>
      <c r="F41" s="35"/>
      <c r="L41" s="49"/>
      <c r="M41" s="49"/>
      <c r="N41" s="49"/>
      <c r="O41" s="49"/>
      <c r="P41" s="35"/>
      <c r="V41" s="35"/>
    </row>
    <row r="42">
      <c r="A42" s="48"/>
      <c r="B42" s="49"/>
      <c r="C42" s="35"/>
      <c r="D42" s="35"/>
      <c r="E42" s="35"/>
      <c r="F42" s="35"/>
      <c r="G42" s="35"/>
      <c r="H42" s="35"/>
      <c r="I42" s="49"/>
      <c r="J42" s="49"/>
      <c r="K42" s="49"/>
      <c r="L42" s="49"/>
      <c r="M42" s="49"/>
      <c r="N42" s="49"/>
      <c r="O42" s="49"/>
      <c r="P42" s="35"/>
    </row>
    <row r="43">
      <c r="A43" s="86" t="s">
        <v>67</v>
      </c>
      <c r="P43" s="35"/>
    </row>
    <row r="44">
      <c r="A44" s="48"/>
      <c r="B44" s="49"/>
      <c r="C44" s="35"/>
      <c r="D44" s="35"/>
      <c r="E44" s="35"/>
      <c r="F44" s="35"/>
      <c r="G44" s="35"/>
      <c r="H44" s="35"/>
      <c r="I44" s="49"/>
      <c r="J44" s="49"/>
      <c r="K44" s="49"/>
      <c r="L44" s="49"/>
      <c r="M44" s="49"/>
      <c r="N44" s="49"/>
      <c r="O44" s="49"/>
      <c r="P44" s="35"/>
    </row>
    <row r="45">
      <c r="A45" s="48"/>
      <c r="B45" s="49"/>
      <c r="C45" s="35"/>
      <c r="D45" s="35"/>
      <c r="E45" s="87" t="s">
        <v>68</v>
      </c>
      <c r="F45" s="88"/>
      <c r="G45" s="89" t="s">
        <v>69</v>
      </c>
      <c r="H45" s="90"/>
      <c r="I45" s="90"/>
      <c r="J45" s="90"/>
      <c r="K45" s="91"/>
      <c r="L45" s="49"/>
      <c r="M45" s="49"/>
      <c r="N45" s="49"/>
      <c r="O45" s="49"/>
      <c r="P45" s="35"/>
    </row>
    <row r="46">
      <c r="A46" s="48"/>
      <c r="B46" s="49"/>
      <c r="C46" s="35"/>
      <c r="D46" s="35"/>
      <c r="E46" s="92"/>
      <c r="F46" s="93"/>
      <c r="G46" s="94" t="s">
        <v>70</v>
      </c>
      <c r="H46" s="95"/>
      <c r="I46" s="95"/>
      <c r="J46" s="95"/>
      <c r="K46" s="96"/>
      <c r="L46" s="49"/>
      <c r="M46" s="49"/>
      <c r="N46" s="49"/>
      <c r="O46" s="49"/>
      <c r="P46" s="35"/>
    </row>
    <row r="47">
      <c r="A47" s="48"/>
      <c r="B47" s="49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>
      <c r="A48" s="48"/>
      <c r="B48" s="49"/>
      <c r="C48" s="35"/>
      <c r="D48" s="35"/>
      <c r="E48" s="87" t="s">
        <v>71</v>
      </c>
      <c r="F48" s="88"/>
      <c r="G48" s="97" t="s">
        <v>72</v>
      </c>
      <c r="H48" s="98"/>
      <c r="I48" s="98"/>
      <c r="J48" s="98"/>
      <c r="K48" s="99"/>
      <c r="L48" s="35"/>
      <c r="M48" s="35"/>
      <c r="N48" s="35"/>
      <c r="O48" s="35"/>
    </row>
    <row r="49">
      <c r="A49" s="48"/>
      <c r="B49" s="35"/>
      <c r="C49" s="49"/>
      <c r="D49" s="35"/>
      <c r="E49" s="92"/>
      <c r="F49" s="93"/>
      <c r="G49" s="95"/>
      <c r="H49" s="95"/>
      <c r="I49" s="95"/>
      <c r="J49" s="95"/>
      <c r="K49" s="100"/>
      <c r="L49" s="35"/>
      <c r="M49" s="35"/>
      <c r="N49" s="35"/>
      <c r="O49" s="35"/>
    </row>
    <row r="50">
      <c r="A50" s="48"/>
      <c r="B50" s="35"/>
      <c r="C50" s="49"/>
      <c r="D50" s="101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>
      <c r="A51" s="48"/>
      <c r="B51" s="35"/>
      <c r="C51" s="49"/>
      <c r="D51" s="101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  <row r="52">
      <c r="A52" s="102"/>
      <c r="B52" s="35"/>
      <c r="C52" s="49"/>
      <c r="D52" s="101"/>
      <c r="E52" s="87" t="s">
        <v>73</v>
      </c>
      <c r="F52" s="88"/>
      <c r="G52" s="94" t="s">
        <v>74</v>
      </c>
      <c r="H52" s="95"/>
      <c r="I52" s="95"/>
      <c r="J52" s="95"/>
      <c r="K52" s="96"/>
      <c r="L52" s="35"/>
    </row>
    <row r="53">
      <c r="A53" s="102"/>
      <c r="B53" s="35"/>
      <c r="C53" s="49"/>
      <c r="D53" s="101"/>
      <c r="E53" s="103"/>
      <c r="F53" s="104"/>
      <c r="G53" s="94" t="s">
        <v>75</v>
      </c>
      <c r="H53" s="95"/>
      <c r="I53" s="95"/>
      <c r="J53" s="95"/>
      <c r="K53" s="96"/>
      <c r="L53" s="35"/>
    </row>
    <row r="54">
      <c r="A54" s="48"/>
      <c r="B54" s="49"/>
      <c r="C54" s="49"/>
      <c r="D54" s="49"/>
      <c r="E54" s="92"/>
      <c r="F54" s="93"/>
      <c r="G54" s="94" t="s">
        <v>76</v>
      </c>
      <c r="H54" s="95"/>
      <c r="I54" s="95"/>
      <c r="J54" s="95"/>
      <c r="K54" s="96"/>
      <c r="L54" s="35"/>
    </row>
    <row r="57">
      <c r="A57" s="105" t="s">
        <v>77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</row>
    <row r="58">
      <c r="A58" s="106"/>
      <c r="B58" s="107"/>
      <c r="C58" s="108" t="s">
        <v>78</v>
      </c>
      <c r="D58" s="3"/>
      <c r="E58" s="3"/>
      <c r="F58" s="4"/>
      <c r="G58" s="109" t="s">
        <v>79</v>
      </c>
      <c r="H58" s="3"/>
      <c r="I58" s="3"/>
      <c r="J58" s="4"/>
      <c r="K58" s="108" t="s">
        <v>80</v>
      </c>
      <c r="L58" s="3"/>
      <c r="M58" s="3"/>
      <c r="N58" s="4"/>
      <c r="O58" s="110"/>
      <c r="P58" s="111"/>
      <c r="Q58" s="111"/>
    </row>
    <row r="59" ht="46.5" customHeight="1">
      <c r="A59" s="112" t="s">
        <v>81</v>
      </c>
      <c r="B59" s="4"/>
      <c r="C59" s="113" t="s">
        <v>7</v>
      </c>
      <c r="D59" s="113" t="s">
        <v>8</v>
      </c>
      <c r="E59" s="113" t="s">
        <v>9</v>
      </c>
      <c r="F59" s="113" t="s">
        <v>10</v>
      </c>
      <c r="G59" s="113" t="s">
        <v>11</v>
      </c>
      <c r="H59" s="113" t="s">
        <v>12</v>
      </c>
      <c r="I59" s="113" t="s">
        <v>13</v>
      </c>
      <c r="J59" s="113" t="s">
        <v>14</v>
      </c>
      <c r="K59" s="113" t="s">
        <v>15</v>
      </c>
      <c r="L59" s="113" t="s">
        <v>16</v>
      </c>
      <c r="M59" s="113" t="s">
        <v>17</v>
      </c>
      <c r="N59" s="114" t="s">
        <v>18</v>
      </c>
      <c r="O59" s="110"/>
      <c r="P59" s="111"/>
      <c r="Q59" s="111"/>
    </row>
    <row r="60" ht="39.75" customHeight="1">
      <c r="A60" s="115" t="s">
        <v>19</v>
      </c>
      <c r="B60" s="4"/>
      <c r="C60" s="116">
        <v>45768.0</v>
      </c>
      <c r="D60" s="116">
        <v>45775.0</v>
      </c>
      <c r="E60" s="116">
        <v>45782.0</v>
      </c>
      <c r="F60" s="116">
        <v>45789.0</v>
      </c>
      <c r="G60" s="117">
        <v>45796.0</v>
      </c>
      <c r="H60" s="117">
        <v>45803.0</v>
      </c>
      <c r="I60" s="117">
        <v>45810.0</v>
      </c>
      <c r="J60" s="117">
        <v>45817.0</v>
      </c>
      <c r="K60" s="116">
        <v>45824.0</v>
      </c>
      <c r="L60" s="116">
        <v>45831.0</v>
      </c>
      <c r="M60" s="116">
        <v>45838.0</v>
      </c>
      <c r="N60" s="118">
        <v>45845.0</v>
      </c>
      <c r="O60" s="110"/>
      <c r="P60" s="111"/>
      <c r="Q60" s="111"/>
    </row>
    <row r="61" ht="38.25" customHeight="1">
      <c r="A61" s="10" t="s">
        <v>82</v>
      </c>
      <c r="B61" s="4"/>
      <c r="C61" s="119"/>
      <c r="D61" s="120"/>
      <c r="E61" s="120"/>
      <c r="F61" s="121">
        <f>F23</f>
        <v>8000</v>
      </c>
      <c r="G61" s="122"/>
      <c r="H61" s="122"/>
      <c r="I61" s="122"/>
      <c r="J61" s="121">
        <f>F24+F61</f>
        <v>20000</v>
      </c>
      <c r="K61" s="122"/>
      <c r="L61" s="122"/>
      <c r="M61" s="122"/>
      <c r="N61" s="123">
        <f>F25+J61</f>
        <v>40000</v>
      </c>
      <c r="O61" s="124"/>
      <c r="P61" s="125"/>
      <c r="Q61" s="125"/>
    </row>
    <row r="62">
      <c r="A62" s="126" t="s">
        <v>83</v>
      </c>
      <c r="B62" s="4"/>
      <c r="C62" s="127">
        <f t="shared" ref="C62:M62" si="14">ROUNDUP($N61/12,0)</f>
        <v>3334</v>
      </c>
      <c r="D62" s="127">
        <f t="shared" si="14"/>
        <v>3334</v>
      </c>
      <c r="E62" s="127">
        <f t="shared" si="14"/>
        <v>3334</v>
      </c>
      <c r="F62" s="127">
        <f t="shared" si="14"/>
        <v>3334</v>
      </c>
      <c r="G62" s="127">
        <f t="shared" si="14"/>
        <v>3334</v>
      </c>
      <c r="H62" s="127">
        <f t="shared" si="14"/>
        <v>3334</v>
      </c>
      <c r="I62" s="127">
        <f t="shared" si="14"/>
        <v>3334</v>
      </c>
      <c r="J62" s="127">
        <f t="shared" si="14"/>
        <v>3334</v>
      </c>
      <c r="K62" s="127">
        <f t="shared" si="14"/>
        <v>3334</v>
      </c>
      <c r="L62" s="127">
        <f t="shared" si="14"/>
        <v>3334</v>
      </c>
      <c r="M62" s="127">
        <f t="shared" si="14"/>
        <v>3334</v>
      </c>
      <c r="N62" s="128">
        <f>ROUNDUP($N61/12,0)-8</f>
        <v>3326</v>
      </c>
      <c r="O62" s="124"/>
      <c r="P62" s="125"/>
      <c r="Q62" s="125"/>
    </row>
    <row r="63" ht="32.25" customHeight="1">
      <c r="A63" s="129" t="s">
        <v>84</v>
      </c>
      <c r="B63" s="4"/>
      <c r="C63" s="130">
        <f>SUM(C62)</f>
        <v>3334</v>
      </c>
      <c r="D63" s="130">
        <f t="shared" ref="D63:N63" si="15">C63+D62</f>
        <v>6668</v>
      </c>
      <c r="E63" s="131">
        <f t="shared" si="15"/>
        <v>10002</v>
      </c>
      <c r="F63" s="130">
        <f t="shared" si="15"/>
        <v>13336</v>
      </c>
      <c r="G63" s="130">
        <f t="shared" si="15"/>
        <v>16670</v>
      </c>
      <c r="H63" s="131">
        <f t="shared" si="15"/>
        <v>20004</v>
      </c>
      <c r="I63" s="130">
        <f t="shared" si="15"/>
        <v>23338</v>
      </c>
      <c r="J63" s="130">
        <f t="shared" si="15"/>
        <v>26672</v>
      </c>
      <c r="K63" s="130">
        <f t="shared" si="15"/>
        <v>30006</v>
      </c>
      <c r="L63" s="130">
        <f t="shared" si="15"/>
        <v>33340</v>
      </c>
      <c r="M63" s="130">
        <f t="shared" si="15"/>
        <v>36674</v>
      </c>
      <c r="N63" s="132">
        <f t="shared" si="15"/>
        <v>40000</v>
      </c>
      <c r="O63" s="133"/>
      <c r="P63" s="134"/>
      <c r="Q63" s="134"/>
    </row>
    <row r="64" ht="32.25" customHeight="1">
      <c r="A64" s="135" t="s">
        <v>85</v>
      </c>
      <c r="B64" s="4"/>
      <c r="C64" s="136">
        <f t="shared" ref="C64:D64" si="16">C62</f>
        <v>3334</v>
      </c>
      <c r="D64" s="136">
        <f t="shared" si="16"/>
        <v>3334</v>
      </c>
      <c r="E64" s="137">
        <f>F61-D63</f>
        <v>1332</v>
      </c>
      <c r="F64" s="138"/>
      <c r="G64" s="138"/>
      <c r="H64" s="138"/>
      <c r="I64" s="138"/>
      <c r="J64" s="138"/>
      <c r="K64" s="138"/>
      <c r="L64" s="138"/>
      <c r="M64" s="138"/>
      <c r="N64" s="138"/>
      <c r="O64" s="139" t="s">
        <v>86</v>
      </c>
      <c r="P64" s="93"/>
      <c r="Q64" s="140">
        <f>SUM(C64:E64)</f>
        <v>8000</v>
      </c>
    </row>
    <row r="65" ht="32.25" customHeight="1">
      <c r="A65" s="141" t="s">
        <v>87</v>
      </c>
      <c r="B65" s="4"/>
      <c r="C65" s="142"/>
      <c r="D65" s="143"/>
      <c r="E65" s="144">
        <f>E62-E64</f>
        <v>2002</v>
      </c>
      <c r="F65" s="144">
        <f t="shared" ref="F65:G65" si="17">F62</f>
        <v>3334</v>
      </c>
      <c r="G65" s="144">
        <f t="shared" si="17"/>
        <v>3334</v>
      </c>
      <c r="H65" s="145">
        <f>J61-G63</f>
        <v>3330</v>
      </c>
      <c r="I65" s="142"/>
      <c r="J65" s="142"/>
      <c r="K65" s="142"/>
      <c r="L65" s="142"/>
      <c r="M65" s="142"/>
      <c r="N65" s="142"/>
      <c r="O65" s="143" t="s">
        <v>86</v>
      </c>
      <c r="P65" s="142"/>
      <c r="Q65" s="144">
        <f>SUM(E65:H65)</f>
        <v>12000</v>
      </c>
    </row>
    <row r="66" ht="32.25" customHeight="1">
      <c r="A66" s="146" t="s">
        <v>88</v>
      </c>
      <c r="B66" s="4"/>
      <c r="C66" s="138"/>
      <c r="D66" s="138"/>
      <c r="E66" s="138"/>
      <c r="F66" s="138"/>
      <c r="G66" s="138"/>
      <c r="H66" s="136">
        <f>H63-J61</f>
        <v>4</v>
      </c>
      <c r="I66" s="136">
        <f t="shared" ref="I66:N66" si="18">I62</f>
        <v>3334</v>
      </c>
      <c r="J66" s="136">
        <f t="shared" si="18"/>
        <v>3334</v>
      </c>
      <c r="K66" s="136">
        <f t="shared" si="18"/>
        <v>3334</v>
      </c>
      <c r="L66" s="136">
        <f t="shared" si="18"/>
        <v>3334</v>
      </c>
      <c r="M66" s="136">
        <f t="shared" si="18"/>
        <v>3334</v>
      </c>
      <c r="N66" s="136">
        <f t="shared" si="18"/>
        <v>3326</v>
      </c>
      <c r="O66" s="147" t="s">
        <v>86</v>
      </c>
      <c r="P66" s="138"/>
      <c r="Q66" s="136">
        <f>SUM(H66:N66)</f>
        <v>20000</v>
      </c>
    </row>
    <row r="67" ht="32.25" customHeight="1">
      <c r="R67" s="148"/>
    </row>
    <row r="68" ht="32.25" customHeight="1">
      <c r="A68" s="149" t="s">
        <v>89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148"/>
    </row>
    <row r="69">
      <c r="A69" s="150"/>
      <c r="B69" s="151"/>
      <c r="C69" s="152" t="s">
        <v>78</v>
      </c>
      <c r="D69" s="3"/>
      <c r="E69" s="3"/>
      <c r="F69" s="4"/>
      <c r="G69" s="153" t="s">
        <v>79</v>
      </c>
      <c r="H69" s="3"/>
      <c r="I69" s="3"/>
      <c r="J69" s="4"/>
      <c r="K69" s="152" t="s">
        <v>80</v>
      </c>
      <c r="L69" s="3"/>
      <c r="M69" s="3"/>
      <c r="N69" s="4"/>
      <c r="O69" s="154"/>
      <c r="P69" s="155"/>
      <c r="Q69" s="155"/>
      <c r="R69" s="148"/>
    </row>
    <row r="70" ht="42.75" customHeight="1">
      <c r="A70" s="156" t="s">
        <v>81</v>
      </c>
      <c r="B70" s="4"/>
      <c r="C70" s="157" t="s">
        <v>7</v>
      </c>
      <c r="D70" s="157" t="s">
        <v>8</v>
      </c>
      <c r="E70" s="157" t="s">
        <v>9</v>
      </c>
      <c r="F70" s="157" t="s">
        <v>10</v>
      </c>
      <c r="G70" s="157" t="s">
        <v>11</v>
      </c>
      <c r="H70" s="157" t="s">
        <v>12</v>
      </c>
      <c r="I70" s="157" t="s">
        <v>13</v>
      </c>
      <c r="J70" s="157" t="s">
        <v>14</v>
      </c>
      <c r="K70" s="157" t="s">
        <v>15</v>
      </c>
      <c r="L70" s="157" t="s">
        <v>16</v>
      </c>
      <c r="M70" s="157" t="s">
        <v>17</v>
      </c>
      <c r="N70" s="158" t="s">
        <v>18</v>
      </c>
      <c r="O70" s="154"/>
      <c r="P70" s="155"/>
      <c r="Q70" s="155"/>
      <c r="R70" s="148"/>
    </row>
    <row r="71" ht="35.25" customHeight="1">
      <c r="A71" s="10" t="s">
        <v>19</v>
      </c>
      <c r="B71" s="4"/>
      <c r="C71" s="116">
        <v>45768.0</v>
      </c>
      <c r="D71" s="116">
        <v>45775.0</v>
      </c>
      <c r="E71" s="116">
        <v>45782.0</v>
      </c>
      <c r="F71" s="116">
        <v>45789.0</v>
      </c>
      <c r="G71" s="117">
        <v>45796.0</v>
      </c>
      <c r="H71" s="117">
        <v>45803.0</v>
      </c>
      <c r="I71" s="117">
        <v>45810.0</v>
      </c>
      <c r="J71" s="117">
        <v>45817.0</v>
      </c>
      <c r="K71" s="116">
        <v>45824.0</v>
      </c>
      <c r="L71" s="116">
        <v>45831.0</v>
      </c>
      <c r="M71" s="116">
        <v>45838.0</v>
      </c>
      <c r="N71" s="118">
        <v>45845.0</v>
      </c>
      <c r="O71" s="154"/>
      <c r="P71" s="155"/>
      <c r="Q71" s="155"/>
      <c r="R71" s="148"/>
    </row>
    <row r="72" ht="47.25" customHeight="1">
      <c r="A72" s="10" t="s">
        <v>82</v>
      </c>
      <c r="B72" s="4"/>
      <c r="C72" s="119"/>
      <c r="D72" s="120"/>
      <c r="E72" s="120"/>
      <c r="F72" s="121">
        <f>G23</f>
        <v>7000</v>
      </c>
      <c r="G72" s="122"/>
      <c r="H72" s="122"/>
      <c r="I72" s="122"/>
      <c r="J72" s="121">
        <f>F72+G24</f>
        <v>15000</v>
      </c>
      <c r="K72" s="122"/>
      <c r="L72" s="122"/>
      <c r="M72" s="122"/>
      <c r="N72" s="123">
        <f>J72+G25</f>
        <v>25000</v>
      </c>
      <c r="O72" s="154"/>
      <c r="P72" s="155"/>
      <c r="Q72" s="155"/>
      <c r="R72" s="148"/>
    </row>
    <row r="73">
      <c r="A73" s="159" t="s">
        <v>83</v>
      </c>
      <c r="B73" s="4"/>
      <c r="C73" s="160">
        <f t="shared" ref="C73:M73" si="19">ROUNDUP($N72/12,0)</f>
        <v>2084</v>
      </c>
      <c r="D73" s="160">
        <f t="shared" si="19"/>
        <v>2084</v>
      </c>
      <c r="E73" s="160">
        <f t="shared" si="19"/>
        <v>2084</v>
      </c>
      <c r="F73" s="160">
        <f t="shared" si="19"/>
        <v>2084</v>
      </c>
      <c r="G73" s="160">
        <f t="shared" si="19"/>
        <v>2084</v>
      </c>
      <c r="H73" s="160">
        <f t="shared" si="19"/>
        <v>2084</v>
      </c>
      <c r="I73" s="160">
        <f t="shared" si="19"/>
        <v>2084</v>
      </c>
      <c r="J73" s="160">
        <f t="shared" si="19"/>
        <v>2084</v>
      </c>
      <c r="K73" s="160">
        <f t="shared" si="19"/>
        <v>2084</v>
      </c>
      <c r="L73" s="160">
        <f t="shared" si="19"/>
        <v>2084</v>
      </c>
      <c r="M73" s="160">
        <f t="shared" si="19"/>
        <v>2084</v>
      </c>
      <c r="N73" s="161">
        <f>ROUNDUP($N72/12,0)-8</f>
        <v>2076</v>
      </c>
      <c r="O73" s="154"/>
      <c r="P73" s="155"/>
      <c r="Q73" s="155"/>
      <c r="R73" s="148"/>
    </row>
    <row r="74">
      <c r="A74" s="129" t="s">
        <v>84</v>
      </c>
      <c r="B74" s="4"/>
      <c r="C74" s="130">
        <f>SUM(C73)</f>
        <v>2084</v>
      </c>
      <c r="D74" s="130">
        <f t="shared" ref="D74:N74" si="20">C74+D73</f>
        <v>4168</v>
      </c>
      <c r="E74" s="162">
        <f t="shared" si="20"/>
        <v>6252</v>
      </c>
      <c r="F74" s="163">
        <f t="shared" si="20"/>
        <v>8336</v>
      </c>
      <c r="G74" s="130">
        <f t="shared" si="20"/>
        <v>10420</v>
      </c>
      <c r="H74" s="164">
        <f t="shared" si="20"/>
        <v>12504</v>
      </c>
      <c r="I74" s="130">
        <f t="shared" si="20"/>
        <v>14588</v>
      </c>
      <c r="J74" s="131">
        <f t="shared" si="20"/>
        <v>16672</v>
      </c>
      <c r="K74" s="130">
        <f t="shared" si="20"/>
        <v>18756</v>
      </c>
      <c r="L74" s="130">
        <f t="shared" si="20"/>
        <v>20840</v>
      </c>
      <c r="M74" s="130">
        <f t="shared" si="20"/>
        <v>22924</v>
      </c>
      <c r="N74" s="165">
        <f t="shared" si="20"/>
        <v>25000</v>
      </c>
      <c r="O74" s="166"/>
      <c r="P74" s="167"/>
      <c r="Q74" s="167"/>
      <c r="R74" s="148"/>
    </row>
    <row r="75">
      <c r="A75" s="168" t="s">
        <v>85</v>
      </c>
      <c r="B75" s="4"/>
      <c r="C75" s="169">
        <f t="shared" ref="C75:D75" si="21">C73</f>
        <v>2084</v>
      </c>
      <c r="D75" s="169">
        <f t="shared" si="21"/>
        <v>2084</v>
      </c>
      <c r="E75" s="169">
        <f>E73-(E74-F72)</f>
        <v>2832</v>
      </c>
      <c r="F75" s="122">
        <f>F72-E74</f>
        <v>748</v>
      </c>
      <c r="G75" s="119"/>
      <c r="H75" s="119"/>
      <c r="I75" s="119"/>
      <c r="J75" s="119"/>
      <c r="K75" s="119"/>
      <c r="L75" s="119"/>
      <c r="M75" s="119"/>
      <c r="N75" s="119"/>
      <c r="O75" s="170" t="s">
        <v>86</v>
      </c>
      <c r="P75" s="93"/>
      <c r="Q75" s="171">
        <f>SUM(C75:E75)</f>
        <v>7000</v>
      </c>
      <c r="R75" s="148"/>
    </row>
    <row r="76">
      <c r="A76" s="172" t="s">
        <v>87</v>
      </c>
      <c r="B76" s="4"/>
      <c r="C76" s="173"/>
      <c r="D76" s="174"/>
      <c r="E76" s="173"/>
      <c r="F76" s="175">
        <f>F73-F75</f>
        <v>1336</v>
      </c>
      <c r="G76" s="175">
        <f t="shared" ref="G76:I76" si="22">G73</f>
        <v>2084</v>
      </c>
      <c r="H76" s="175">
        <f t="shared" si="22"/>
        <v>2084</v>
      </c>
      <c r="I76" s="175">
        <f t="shared" si="22"/>
        <v>2084</v>
      </c>
      <c r="J76" s="176">
        <f>J72-I74</f>
        <v>412</v>
      </c>
      <c r="K76" s="173"/>
      <c r="L76" s="173"/>
      <c r="M76" s="173"/>
      <c r="N76" s="173"/>
      <c r="O76" s="174" t="s">
        <v>86</v>
      </c>
      <c r="P76" s="173"/>
      <c r="Q76" s="175">
        <f>SUM(E76:J76)</f>
        <v>8000</v>
      </c>
      <c r="R76" s="148"/>
    </row>
    <row r="77">
      <c r="A77" s="168" t="s">
        <v>88</v>
      </c>
      <c r="B77" s="4"/>
      <c r="C77" s="119"/>
      <c r="D77" s="119"/>
      <c r="E77" s="119"/>
      <c r="F77" s="119"/>
      <c r="G77" s="119"/>
      <c r="H77" s="119"/>
      <c r="I77" s="119"/>
      <c r="J77" s="169">
        <f>J73-J76</f>
        <v>1672</v>
      </c>
      <c r="K77" s="169">
        <f t="shared" ref="K77:N77" si="23">K73</f>
        <v>2084</v>
      </c>
      <c r="L77" s="169">
        <f t="shared" si="23"/>
        <v>2084</v>
      </c>
      <c r="M77" s="169">
        <f t="shared" si="23"/>
        <v>2084</v>
      </c>
      <c r="N77" s="169">
        <f t="shared" si="23"/>
        <v>2076</v>
      </c>
      <c r="O77" s="177" t="s">
        <v>86</v>
      </c>
      <c r="P77" s="119"/>
      <c r="Q77" s="169">
        <f>SUM(H77:N77)</f>
        <v>10000</v>
      </c>
      <c r="R77" s="17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78"/>
    </row>
    <row r="79">
      <c r="A79" s="179" t="s">
        <v>90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/>
    </row>
    <row r="80" ht="48.0" customHeight="1">
      <c r="A80" s="156" t="s">
        <v>81</v>
      </c>
      <c r="B80" s="4"/>
      <c r="C80" s="157" t="s">
        <v>7</v>
      </c>
      <c r="D80" s="157" t="s">
        <v>8</v>
      </c>
      <c r="E80" s="157" t="s">
        <v>9</v>
      </c>
      <c r="F80" s="157" t="s">
        <v>10</v>
      </c>
      <c r="G80" s="157" t="s">
        <v>11</v>
      </c>
      <c r="H80" s="157" t="s">
        <v>12</v>
      </c>
      <c r="I80" s="157" t="s">
        <v>13</v>
      </c>
      <c r="J80" s="157" t="s">
        <v>14</v>
      </c>
      <c r="K80" s="157" t="s">
        <v>15</v>
      </c>
      <c r="L80" s="157" t="s">
        <v>16</v>
      </c>
      <c r="M80" s="157" t="s">
        <v>17</v>
      </c>
      <c r="N80" s="158" t="s">
        <v>18</v>
      </c>
      <c r="O80" s="180"/>
      <c r="P80" s="181"/>
      <c r="Q80" s="181"/>
      <c r="S80" s="178"/>
    </row>
    <row r="81" ht="30.75" customHeight="1">
      <c r="A81" s="10" t="s">
        <v>19</v>
      </c>
      <c r="B81" s="4"/>
      <c r="C81" s="116">
        <v>45768.0</v>
      </c>
      <c r="D81" s="116">
        <v>45775.0</v>
      </c>
      <c r="E81" s="116">
        <v>45782.0</v>
      </c>
      <c r="F81" s="116">
        <v>45789.0</v>
      </c>
      <c r="G81" s="117">
        <v>45796.0</v>
      </c>
      <c r="H81" s="117">
        <v>45803.0</v>
      </c>
      <c r="I81" s="117">
        <v>45810.0</v>
      </c>
      <c r="J81" s="117">
        <v>45817.0</v>
      </c>
      <c r="K81" s="116">
        <v>45824.0</v>
      </c>
      <c r="L81" s="116">
        <v>45831.0</v>
      </c>
      <c r="M81" s="116">
        <v>45838.0</v>
      </c>
      <c r="N81" s="118">
        <v>45845.0</v>
      </c>
      <c r="O81" s="180"/>
      <c r="P81" s="181"/>
      <c r="Q81" s="181"/>
      <c r="S81" s="178"/>
    </row>
    <row r="82" ht="45.75" customHeight="1">
      <c r="A82" s="10" t="s">
        <v>82</v>
      </c>
      <c r="B82" s="4"/>
      <c r="C82" s="119"/>
      <c r="D82" s="120"/>
      <c r="E82" s="120"/>
      <c r="F82" s="121">
        <f>F61+F72</f>
        <v>15000</v>
      </c>
      <c r="G82" s="122"/>
      <c r="H82" s="122"/>
      <c r="I82" s="122"/>
      <c r="J82" s="121">
        <f>J61+J72</f>
        <v>35000</v>
      </c>
      <c r="K82" s="122"/>
      <c r="L82" s="122"/>
      <c r="M82" s="122"/>
      <c r="N82" s="123">
        <f>N61+N72</f>
        <v>65000</v>
      </c>
      <c r="O82" s="182"/>
      <c r="P82" s="183"/>
      <c r="Q82" s="183"/>
      <c r="S82" s="178"/>
    </row>
    <row r="83">
      <c r="A83" s="184" t="s">
        <v>83</v>
      </c>
      <c r="B83" s="4"/>
      <c r="C83" s="185">
        <f t="shared" ref="C83:N83" si="24">C73+C62</f>
        <v>5418</v>
      </c>
      <c r="D83" s="185">
        <f t="shared" si="24"/>
        <v>5418</v>
      </c>
      <c r="E83" s="185">
        <f t="shared" si="24"/>
        <v>5418</v>
      </c>
      <c r="F83" s="185">
        <f t="shared" si="24"/>
        <v>5418</v>
      </c>
      <c r="G83" s="185">
        <f t="shared" si="24"/>
        <v>5418</v>
      </c>
      <c r="H83" s="185">
        <f t="shared" si="24"/>
        <v>5418</v>
      </c>
      <c r="I83" s="185">
        <f t="shared" si="24"/>
        <v>5418</v>
      </c>
      <c r="J83" s="185">
        <f t="shared" si="24"/>
        <v>5418</v>
      </c>
      <c r="K83" s="185">
        <f t="shared" si="24"/>
        <v>5418</v>
      </c>
      <c r="L83" s="185">
        <f t="shared" si="24"/>
        <v>5418</v>
      </c>
      <c r="M83" s="185">
        <f t="shared" si="24"/>
        <v>5418</v>
      </c>
      <c r="N83" s="185">
        <f t="shared" si="24"/>
        <v>5402</v>
      </c>
      <c r="O83" s="182"/>
      <c r="P83" s="183"/>
      <c r="Q83" s="183"/>
      <c r="S83" s="178"/>
    </row>
    <row r="84">
      <c r="A84" s="129" t="s">
        <v>84</v>
      </c>
      <c r="B84" s="4"/>
      <c r="C84" s="130">
        <f>SUM(C83)</f>
        <v>5418</v>
      </c>
      <c r="D84" s="130">
        <f t="shared" ref="D84:N84" si="25">C84+D83</f>
        <v>10836</v>
      </c>
      <c r="E84" s="186">
        <f t="shared" si="25"/>
        <v>16254</v>
      </c>
      <c r="F84" s="130">
        <f t="shared" si="25"/>
        <v>21672</v>
      </c>
      <c r="G84" s="130">
        <f t="shared" si="25"/>
        <v>27090</v>
      </c>
      <c r="H84" s="164">
        <f t="shared" si="25"/>
        <v>32508</v>
      </c>
      <c r="I84" s="131">
        <f t="shared" si="25"/>
        <v>37926</v>
      </c>
      <c r="J84" s="130">
        <f t="shared" si="25"/>
        <v>43344</v>
      </c>
      <c r="K84" s="130">
        <f t="shared" si="25"/>
        <v>48762</v>
      </c>
      <c r="L84" s="130">
        <f t="shared" si="25"/>
        <v>54180</v>
      </c>
      <c r="M84" s="130">
        <f t="shared" si="25"/>
        <v>59598</v>
      </c>
      <c r="N84" s="165">
        <f t="shared" si="25"/>
        <v>65000</v>
      </c>
      <c r="O84" s="187"/>
      <c r="P84" s="188"/>
      <c r="Q84" s="188"/>
      <c r="S84" s="178"/>
    </row>
    <row r="85">
      <c r="A85" s="168" t="s">
        <v>85</v>
      </c>
      <c r="B85" s="4"/>
      <c r="C85" s="169">
        <f t="shared" ref="C85:D85" si="26">C83</f>
        <v>5418</v>
      </c>
      <c r="D85" s="169">
        <f t="shared" si="26"/>
        <v>5418</v>
      </c>
      <c r="E85" s="169">
        <f>E83-(E84-F82)</f>
        <v>4164</v>
      </c>
      <c r="F85" s="119"/>
      <c r="G85" s="119"/>
      <c r="H85" s="119"/>
      <c r="I85" s="119"/>
      <c r="J85" s="119"/>
      <c r="K85" s="119"/>
      <c r="L85" s="119"/>
      <c r="M85" s="119"/>
      <c r="N85" s="119"/>
      <c r="O85" s="170" t="s">
        <v>86</v>
      </c>
      <c r="P85" s="93"/>
      <c r="Q85" s="171">
        <f>SUM(C85:E85)</f>
        <v>15000</v>
      </c>
    </row>
    <row r="86">
      <c r="A86" s="172" t="s">
        <v>87</v>
      </c>
      <c r="B86" s="4"/>
      <c r="C86" s="173"/>
      <c r="D86" s="174"/>
      <c r="E86" s="175">
        <f>E83-E85</f>
        <v>1254</v>
      </c>
      <c r="F86" s="175">
        <f t="shared" ref="F86:H86" si="27">F83</f>
        <v>5418</v>
      </c>
      <c r="G86" s="175">
        <f t="shared" si="27"/>
        <v>5418</v>
      </c>
      <c r="H86" s="175">
        <f t="shared" si="27"/>
        <v>5418</v>
      </c>
      <c r="I86" s="175">
        <f>I83-(I84-J82)</f>
        <v>2492</v>
      </c>
      <c r="J86" s="173"/>
      <c r="K86" s="173"/>
      <c r="L86" s="173"/>
      <c r="M86" s="173"/>
      <c r="N86" s="173"/>
      <c r="O86" s="156" t="s">
        <v>86</v>
      </c>
      <c r="P86" s="4"/>
      <c r="Q86" s="175">
        <f>SUM(E86:I86)</f>
        <v>20000</v>
      </c>
    </row>
    <row r="87">
      <c r="A87" s="168" t="s">
        <v>88</v>
      </c>
      <c r="B87" s="4"/>
      <c r="C87" s="119"/>
      <c r="D87" s="119"/>
      <c r="E87" s="119"/>
      <c r="F87" s="119"/>
      <c r="G87" s="119"/>
      <c r="H87" s="119"/>
      <c r="I87" s="169">
        <f>I83-I86</f>
        <v>2926</v>
      </c>
      <c r="J87" s="169">
        <f t="shared" ref="J87:N87" si="28">J83</f>
        <v>5418</v>
      </c>
      <c r="K87" s="169">
        <f t="shared" si="28"/>
        <v>5418</v>
      </c>
      <c r="L87" s="169">
        <f t="shared" si="28"/>
        <v>5418</v>
      </c>
      <c r="M87" s="169">
        <f t="shared" si="28"/>
        <v>5418</v>
      </c>
      <c r="N87" s="169">
        <f t="shared" si="28"/>
        <v>5402</v>
      </c>
      <c r="O87" s="189" t="s">
        <v>86</v>
      </c>
      <c r="P87" s="4"/>
      <c r="Q87" s="169">
        <f>SUM(H87:N87)</f>
        <v>30000</v>
      </c>
    </row>
    <row r="88">
      <c r="A88" s="178"/>
      <c r="B88" s="190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</row>
    <row r="89">
      <c r="A89" s="192" t="s">
        <v>91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4"/>
    </row>
    <row r="90">
      <c r="A90" s="106"/>
      <c r="B90" s="107"/>
      <c r="C90" s="108" t="s">
        <v>78</v>
      </c>
      <c r="D90" s="3"/>
      <c r="E90" s="3"/>
      <c r="F90" s="4"/>
      <c r="G90" s="109" t="s">
        <v>79</v>
      </c>
      <c r="H90" s="3"/>
      <c r="I90" s="3"/>
      <c r="J90" s="4"/>
      <c r="K90" s="108" t="s">
        <v>80</v>
      </c>
      <c r="L90" s="3"/>
      <c r="M90" s="3"/>
      <c r="N90" s="4"/>
      <c r="O90" s="193"/>
      <c r="P90" s="194"/>
      <c r="Q90" s="194"/>
    </row>
    <row r="91">
      <c r="A91" s="112" t="s">
        <v>81</v>
      </c>
      <c r="B91" s="4"/>
      <c r="C91" s="113" t="s">
        <v>7</v>
      </c>
      <c r="D91" s="113" t="s">
        <v>8</v>
      </c>
      <c r="E91" s="113" t="s">
        <v>9</v>
      </c>
      <c r="F91" s="113" t="s">
        <v>10</v>
      </c>
      <c r="G91" s="113" t="s">
        <v>11</v>
      </c>
      <c r="H91" s="113" t="s">
        <v>12</v>
      </c>
      <c r="I91" s="113" t="s">
        <v>13</v>
      </c>
      <c r="J91" s="113" t="s">
        <v>14</v>
      </c>
      <c r="K91" s="113" t="s">
        <v>15</v>
      </c>
      <c r="L91" s="113" t="s">
        <v>16</v>
      </c>
      <c r="M91" s="113" t="s">
        <v>17</v>
      </c>
      <c r="N91" s="114" t="s">
        <v>18</v>
      </c>
      <c r="O91" s="193"/>
      <c r="P91" s="194"/>
      <c r="Q91" s="194"/>
    </row>
    <row r="92">
      <c r="A92" s="115" t="s">
        <v>19</v>
      </c>
      <c r="B92" s="4"/>
      <c r="C92" s="116">
        <v>45768.0</v>
      </c>
      <c r="D92" s="116">
        <v>45775.0</v>
      </c>
      <c r="E92" s="116">
        <v>45782.0</v>
      </c>
      <c r="F92" s="116">
        <v>45789.0</v>
      </c>
      <c r="G92" s="117">
        <v>45796.0</v>
      </c>
      <c r="H92" s="117">
        <v>45803.0</v>
      </c>
      <c r="I92" s="117">
        <v>45810.0</v>
      </c>
      <c r="J92" s="117">
        <v>45817.0</v>
      </c>
      <c r="K92" s="116">
        <v>45824.0</v>
      </c>
      <c r="L92" s="116">
        <v>45831.0</v>
      </c>
      <c r="M92" s="116">
        <v>45838.0</v>
      </c>
      <c r="N92" s="118">
        <v>45845.0</v>
      </c>
      <c r="O92" s="193"/>
      <c r="P92" s="194"/>
      <c r="Q92" s="194"/>
    </row>
    <row r="93">
      <c r="A93" s="10" t="s">
        <v>82</v>
      </c>
      <c r="B93" s="4"/>
      <c r="C93" s="119"/>
      <c r="D93" s="120"/>
      <c r="E93" s="120"/>
      <c r="F93" s="121">
        <f>F23</f>
        <v>8000</v>
      </c>
      <c r="G93" s="122"/>
      <c r="H93" s="122"/>
      <c r="I93" s="122"/>
      <c r="J93" s="121">
        <f>F24+F93</f>
        <v>20000</v>
      </c>
      <c r="K93" s="122"/>
      <c r="L93" s="122"/>
      <c r="M93" s="122"/>
      <c r="N93" s="123">
        <f>F25+J93</f>
        <v>40000</v>
      </c>
      <c r="O93" s="195"/>
      <c r="P93" s="196"/>
      <c r="Q93" s="196"/>
    </row>
    <row r="94">
      <c r="A94" s="28" t="s">
        <v>92</v>
      </c>
      <c r="C94" s="197">
        <f>B25</f>
        <v>11464</v>
      </c>
      <c r="D94" s="197">
        <f t="shared" ref="D94:N94" si="29">C94</f>
        <v>11464</v>
      </c>
      <c r="E94" s="197">
        <f t="shared" si="29"/>
        <v>11464</v>
      </c>
      <c r="F94" s="197">
        <f t="shared" si="29"/>
        <v>11464</v>
      </c>
      <c r="G94" s="197">
        <f t="shared" si="29"/>
        <v>11464</v>
      </c>
      <c r="H94" s="197">
        <f t="shared" si="29"/>
        <v>11464</v>
      </c>
      <c r="I94" s="197">
        <f t="shared" si="29"/>
        <v>11464</v>
      </c>
      <c r="J94" s="197">
        <f t="shared" si="29"/>
        <v>11464</v>
      </c>
      <c r="K94" s="197">
        <f t="shared" si="29"/>
        <v>11464</v>
      </c>
      <c r="L94" s="197">
        <f t="shared" si="29"/>
        <v>11464</v>
      </c>
      <c r="M94" s="197">
        <f t="shared" si="29"/>
        <v>11464</v>
      </c>
      <c r="N94" s="197">
        <f t="shared" si="29"/>
        <v>11464</v>
      </c>
      <c r="O94" s="170" t="s">
        <v>86</v>
      </c>
      <c r="P94" s="93"/>
      <c r="Q94" s="198"/>
    </row>
    <row r="95">
      <c r="A95" s="28" t="s">
        <v>93</v>
      </c>
      <c r="C95" s="199">
        <f>ROUNDUP(F94*30%,0)</f>
        <v>3440</v>
      </c>
      <c r="D95" s="199">
        <f>ROUNDUP(D94*23%,0)</f>
        <v>2637</v>
      </c>
      <c r="E95" s="199">
        <f>ROUNDUP(C94*22%,0)</f>
        <v>2523</v>
      </c>
      <c r="F95" s="199">
        <f>ROUNDUP(E94*25%,0)</f>
        <v>2866</v>
      </c>
      <c r="G95" s="199">
        <f>ROUNDUP(J94*30%,0)</f>
        <v>3440</v>
      </c>
      <c r="H95" s="199">
        <f>ROUNDUP(H94*23%,0)</f>
        <v>2637</v>
      </c>
      <c r="I95" s="199">
        <f>ROUNDUP(G94*22%,0)</f>
        <v>2523</v>
      </c>
      <c r="J95" s="199">
        <f>ROUNDUP(I94*25%,0)</f>
        <v>2866</v>
      </c>
      <c r="K95" s="199">
        <f>ROUNDUP(N94*30%,0)</f>
        <v>3440</v>
      </c>
      <c r="L95" s="199">
        <f>ROUNDUP(L94*23%,0)</f>
        <v>2637</v>
      </c>
      <c r="M95" s="199">
        <f>ROUNDUP(K94*22%,0)</f>
        <v>2523</v>
      </c>
      <c r="N95" s="199">
        <f>ROUNDUP(M94*25%,0)</f>
        <v>2866</v>
      </c>
      <c r="O95" s="156" t="s">
        <v>86</v>
      </c>
      <c r="P95" s="4"/>
      <c r="Q95" s="175">
        <f t="shared" ref="Q95:Q96" si="31">SUM(C95:N95)</f>
        <v>34398</v>
      </c>
    </row>
    <row r="96">
      <c r="A96" s="200" t="s">
        <v>83</v>
      </c>
      <c r="B96" s="4"/>
      <c r="C96" s="201">
        <f t="shared" ref="C96:M96" si="30">C62+C95</f>
        <v>6774</v>
      </c>
      <c r="D96" s="201">
        <f t="shared" si="30"/>
        <v>5971</v>
      </c>
      <c r="E96" s="201">
        <f t="shared" si="30"/>
        <v>5857</v>
      </c>
      <c r="F96" s="201">
        <f t="shared" si="30"/>
        <v>6200</v>
      </c>
      <c r="G96" s="201">
        <f t="shared" si="30"/>
        <v>6774</v>
      </c>
      <c r="H96" s="201">
        <f t="shared" si="30"/>
        <v>5971</v>
      </c>
      <c r="I96" s="201">
        <f t="shared" si="30"/>
        <v>5857</v>
      </c>
      <c r="J96" s="201">
        <f t="shared" si="30"/>
        <v>6200</v>
      </c>
      <c r="K96" s="201">
        <f t="shared" si="30"/>
        <v>6774</v>
      </c>
      <c r="L96" s="201">
        <f t="shared" si="30"/>
        <v>5971</v>
      </c>
      <c r="M96" s="201">
        <f t="shared" si="30"/>
        <v>5857</v>
      </c>
      <c r="N96" s="201">
        <f>N62+N95+2</f>
        <v>6194</v>
      </c>
      <c r="O96" s="156" t="s">
        <v>86</v>
      </c>
      <c r="P96" s="4"/>
      <c r="Q96" s="175">
        <f t="shared" si="31"/>
        <v>74400</v>
      </c>
    </row>
    <row r="97">
      <c r="A97" s="129"/>
      <c r="B97" s="4"/>
      <c r="C97" s="202"/>
      <c r="D97" s="202"/>
      <c r="E97" s="203"/>
      <c r="F97" s="202"/>
      <c r="G97" s="202"/>
      <c r="H97" s="202"/>
      <c r="I97" s="204"/>
      <c r="J97" s="202"/>
      <c r="K97" s="202"/>
      <c r="L97" s="202"/>
      <c r="M97" s="202"/>
      <c r="N97" s="205"/>
      <c r="O97" s="143"/>
      <c r="P97" s="142"/>
      <c r="Q97" s="144"/>
    </row>
    <row r="98">
      <c r="A98" s="146"/>
      <c r="B98" s="4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47"/>
      <c r="P98" s="138"/>
      <c r="Q98" s="136"/>
    </row>
    <row r="99">
      <c r="A99" s="178"/>
      <c r="B99" s="206"/>
      <c r="E99" s="207"/>
      <c r="F99" s="207"/>
      <c r="G99" s="207"/>
      <c r="H99" s="207"/>
      <c r="I99" s="207"/>
      <c r="J99" s="207"/>
      <c r="K99" s="207"/>
      <c r="L99" s="208"/>
      <c r="O99" s="207"/>
    </row>
    <row r="100">
      <c r="A100" s="209" t="s">
        <v>94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178"/>
    </row>
    <row r="101">
      <c r="A101" s="150"/>
      <c r="B101" s="151"/>
      <c r="C101" s="152" t="s">
        <v>78</v>
      </c>
      <c r="D101" s="3"/>
      <c r="E101" s="3"/>
      <c r="F101" s="4"/>
      <c r="G101" s="153" t="s">
        <v>79</v>
      </c>
      <c r="H101" s="3"/>
      <c r="I101" s="3"/>
      <c r="J101" s="4"/>
      <c r="K101" s="152" t="s">
        <v>80</v>
      </c>
      <c r="L101" s="3"/>
      <c r="M101" s="3"/>
      <c r="N101" s="4"/>
      <c r="O101" s="210"/>
      <c r="P101" s="211"/>
      <c r="Q101" s="211"/>
      <c r="R101" s="178"/>
    </row>
    <row r="102">
      <c r="A102" s="156" t="s">
        <v>81</v>
      </c>
      <c r="B102" s="4"/>
      <c r="C102" s="157" t="s">
        <v>7</v>
      </c>
      <c r="D102" s="157" t="s">
        <v>8</v>
      </c>
      <c r="E102" s="157" t="s">
        <v>9</v>
      </c>
      <c r="F102" s="157" t="s">
        <v>10</v>
      </c>
      <c r="G102" s="157" t="s">
        <v>11</v>
      </c>
      <c r="H102" s="157" t="s">
        <v>12</v>
      </c>
      <c r="I102" s="157" t="s">
        <v>13</v>
      </c>
      <c r="J102" s="157" t="s">
        <v>14</v>
      </c>
      <c r="K102" s="157" t="s">
        <v>15</v>
      </c>
      <c r="L102" s="157" t="s">
        <v>16</v>
      </c>
      <c r="M102" s="157" t="s">
        <v>17</v>
      </c>
      <c r="N102" s="158" t="s">
        <v>18</v>
      </c>
      <c r="O102" s="210"/>
      <c r="P102" s="211"/>
      <c r="Q102" s="211"/>
      <c r="R102" s="178"/>
    </row>
    <row r="103">
      <c r="A103" s="10" t="s">
        <v>19</v>
      </c>
      <c r="B103" s="4"/>
      <c r="C103" s="116">
        <v>45768.0</v>
      </c>
      <c r="D103" s="116">
        <v>45775.0</v>
      </c>
      <c r="E103" s="116">
        <v>45782.0</v>
      </c>
      <c r="F103" s="116">
        <v>45789.0</v>
      </c>
      <c r="G103" s="117">
        <v>45796.0</v>
      </c>
      <c r="H103" s="117">
        <v>45803.0</v>
      </c>
      <c r="I103" s="117">
        <v>45810.0</v>
      </c>
      <c r="J103" s="117">
        <v>45817.0</v>
      </c>
      <c r="K103" s="116">
        <v>45824.0</v>
      </c>
      <c r="L103" s="116">
        <v>45831.0</v>
      </c>
      <c r="M103" s="116">
        <v>45838.0</v>
      </c>
      <c r="N103" s="118">
        <v>45845.0</v>
      </c>
      <c r="O103" s="210"/>
      <c r="P103" s="211"/>
      <c r="Q103" s="211"/>
      <c r="R103" s="178"/>
    </row>
    <row r="104">
      <c r="A104" s="10" t="s">
        <v>82</v>
      </c>
      <c r="B104" s="4"/>
      <c r="C104" s="119"/>
      <c r="D104" s="120"/>
      <c r="E104" s="120"/>
      <c r="F104" s="121">
        <f>G23+C25</f>
        <v>13864</v>
      </c>
      <c r="G104" s="122"/>
      <c r="H104" s="122"/>
      <c r="I104" s="122"/>
      <c r="J104" s="121">
        <f>F104+G24+C25</f>
        <v>28728</v>
      </c>
      <c r="K104" s="122"/>
      <c r="L104" s="122"/>
      <c r="M104" s="122"/>
      <c r="N104" s="123">
        <f>J103+G25+C25</f>
        <v>62681</v>
      </c>
      <c r="O104" s="210"/>
      <c r="P104" s="211"/>
      <c r="Q104" s="211"/>
      <c r="R104" s="178"/>
    </row>
    <row r="105">
      <c r="A105" s="28" t="s">
        <v>92</v>
      </c>
      <c r="C105" s="197">
        <f>C25</f>
        <v>6864</v>
      </c>
      <c r="D105" s="197">
        <f t="shared" ref="D105:N105" si="32">C105</f>
        <v>6864</v>
      </c>
      <c r="E105" s="197">
        <f t="shared" si="32"/>
        <v>6864</v>
      </c>
      <c r="F105" s="197">
        <f t="shared" si="32"/>
        <v>6864</v>
      </c>
      <c r="G105" s="197">
        <f t="shared" si="32"/>
        <v>6864</v>
      </c>
      <c r="H105" s="197">
        <f t="shared" si="32"/>
        <v>6864</v>
      </c>
      <c r="I105" s="197">
        <f t="shared" si="32"/>
        <v>6864</v>
      </c>
      <c r="J105" s="197">
        <f t="shared" si="32"/>
        <v>6864</v>
      </c>
      <c r="K105" s="197">
        <f t="shared" si="32"/>
        <v>6864</v>
      </c>
      <c r="L105" s="197">
        <f t="shared" si="32"/>
        <v>6864</v>
      </c>
      <c r="M105" s="197">
        <f t="shared" si="32"/>
        <v>6864</v>
      </c>
      <c r="N105" s="197">
        <f t="shared" si="32"/>
        <v>6864</v>
      </c>
      <c r="O105" s="210"/>
      <c r="P105" s="211"/>
      <c r="Q105" s="211"/>
    </row>
    <row r="106">
      <c r="A106" s="28" t="s">
        <v>93</v>
      </c>
      <c r="C106" s="199">
        <f>ROUNDUP(F105*26%,0)</f>
        <v>1785</v>
      </c>
      <c r="D106" s="199">
        <f>ROUNDUP(D105*27%,0)</f>
        <v>1854</v>
      </c>
      <c r="E106" s="199">
        <f>ROUNDUP(C105*23%,0)</f>
        <v>1579</v>
      </c>
      <c r="F106" s="199">
        <f>ROUNDUP(E105*24%,0)</f>
        <v>1648</v>
      </c>
      <c r="G106" s="199">
        <f>ROUNDUP(J105*26%,0)</f>
        <v>1785</v>
      </c>
      <c r="H106" s="199">
        <f>ROUNDUP(H105*27%,0)</f>
        <v>1854</v>
      </c>
      <c r="I106" s="199">
        <f>ROUNDUP(G105*23%,0)</f>
        <v>1579</v>
      </c>
      <c r="J106" s="199">
        <f>ROUNDUP(I105*24%,0)</f>
        <v>1648</v>
      </c>
      <c r="K106" s="199">
        <f>ROUNDUP(N105*26%,0)</f>
        <v>1785</v>
      </c>
      <c r="L106" s="199">
        <f>ROUNDUP(L105*27%,0)</f>
        <v>1854</v>
      </c>
      <c r="M106" s="199">
        <f>ROUNDUP(K105*23%,0)</f>
        <v>1579</v>
      </c>
      <c r="N106" s="199">
        <f>ROUNDUP(M105*24%,0)</f>
        <v>1648</v>
      </c>
      <c r="O106" s="156" t="s">
        <v>86</v>
      </c>
      <c r="P106" s="4"/>
      <c r="Q106" s="175">
        <f t="shared" ref="Q106:Q107" si="34">SUM(C106:N106)</f>
        <v>20598</v>
      </c>
    </row>
    <row r="107">
      <c r="A107" s="212" t="s">
        <v>83</v>
      </c>
      <c r="B107" s="4"/>
      <c r="C107" s="213">
        <f t="shared" ref="C107:M107" si="33">C73+C106</f>
        <v>3869</v>
      </c>
      <c r="D107" s="213">
        <f t="shared" si="33"/>
        <v>3938</v>
      </c>
      <c r="E107" s="213">
        <f t="shared" si="33"/>
        <v>3663</v>
      </c>
      <c r="F107" s="213">
        <f t="shared" si="33"/>
        <v>3732</v>
      </c>
      <c r="G107" s="213">
        <f t="shared" si="33"/>
        <v>3869</v>
      </c>
      <c r="H107" s="213">
        <f t="shared" si="33"/>
        <v>3938</v>
      </c>
      <c r="I107" s="213">
        <f t="shared" si="33"/>
        <v>3663</v>
      </c>
      <c r="J107" s="213">
        <f t="shared" si="33"/>
        <v>3732</v>
      </c>
      <c r="K107" s="213">
        <f t="shared" si="33"/>
        <v>3869</v>
      </c>
      <c r="L107" s="213">
        <f t="shared" si="33"/>
        <v>3938</v>
      </c>
      <c r="M107" s="213">
        <f t="shared" si="33"/>
        <v>3663</v>
      </c>
      <c r="N107" s="213">
        <f>N73+N106+2</f>
        <v>3726</v>
      </c>
      <c r="O107" s="156" t="s">
        <v>86</v>
      </c>
      <c r="P107" s="4"/>
      <c r="Q107" s="175">
        <f t="shared" si="34"/>
        <v>45600</v>
      </c>
    </row>
    <row r="108">
      <c r="A108" s="129"/>
      <c r="B108" s="4"/>
      <c r="C108" s="202"/>
      <c r="D108" s="202"/>
      <c r="E108" s="214"/>
      <c r="F108" s="214"/>
      <c r="G108" s="203"/>
      <c r="H108" s="215"/>
      <c r="I108" s="202"/>
      <c r="J108" s="202"/>
      <c r="K108" s="202"/>
      <c r="L108" s="202"/>
      <c r="M108" s="202"/>
      <c r="N108" s="205"/>
      <c r="O108" s="174"/>
      <c r="P108" s="173"/>
      <c r="Q108" s="175"/>
    </row>
    <row r="109">
      <c r="A109" s="168"/>
      <c r="B109" s="4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77"/>
      <c r="P109" s="119"/>
      <c r="Q109" s="169"/>
    </row>
    <row r="111">
      <c r="A111" s="216" t="s">
        <v>95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4"/>
    </row>
    <row r="112">
      <c r="A112" s="156" t="s">
        <v>81</v>
      </c>
      <c r="B112" s="4"/>
      <c r="C112" s="157" t="s">
        <v>7</v>
      </c>
      <c r="D112" s="157" t="s">
        <v>8</v>
      </c>
      <c r="E112" s="157" t="s">
        <v>9</v>
      </c>
      <c r="F112" s="157" t="s">
        <v>10</v>
      </c>
      <c r="G112" s="157" t="s">
        <v>11</v>
      </c>
      <c r="H112" s="157" t="s">
        <v>12</v>
      </c>
      <c r="I112" s="157" t="s">
        <v>13</v>
      </c>
      <c r="J112" s="157" t="s">
        <v>14</v>
      </c>
      <c r="K112" s="157" t="s">
        <v>15</v>
      </c>
      <c r="L112" s="157" t="s">
        <v>16</v>
      </c>
      <c r="M112" s="157" t="s">
        <v>17</v>
      </c>
      <c r="N112" s="158" t="s">
        <v>18</v>
      </c>
      <c r="O112" s="217"/>
      <c r="P112" s="218"/>
      <c r="Q112" s="218"/>
    </row>
    <row r="113">
      <c r="A113" s="10" t="s">
        <v>19</v>
      </c>
      <c r="B113" s="4"/>
      <c r="C113" s="116">
        <v>45768.0</v>
      </c>
      <c r="D113" s="116">
        <v>45775.0</v>
      </c>
      <c r="E113" s="116">
        <v>45782.0</v>
      </c>
      <c r="F113" s="116">
        <v>45789.0</v>
      </c>
      <c r="G113" s="117">
        <v>45796.0</v>
      </c>
      <c r="H113" s="117">
        <v>45803.0</v>
      </c>
      <c r="I113" s="117">
        <v>45810.0</v>
      </c>
      <c r="J113" s="117">
        <v>45817.0</v>
      </c>
      <c r="K113" s="116">
        <v>45824.0</v>
      </c>
      <c r="L113" s="116">
        <v>45831.0</v>
      </c>
      <c r="M113" s="116">
        <v>45838.0</v>
      </c>
      <c r="N113" s="118">
        <v>45845.0</v>
      </c>
      <c r="O113" s="217"/>
      <c r="P113" s="218"/>
      <c r="Q113" s="218"/>
    </row>
    <row r="114">
      <c r="A114" s="10" t="s">
        <v>82</v>
      </c>
      <c r="B114" s="4"/>
      <c r="C114" s="119"/>
      <c r="D114" s="120"/>
      <c r="E114" s="120"/>
      <c r="F114" s="121">
        <f>F93+F104</f>
        <v>21864</v>
      </c>
      <c r="G114" s="122"/>
      <c r="H114" s="122"/>
      <c r="I114" s="122"/>
      <c r="J114" s="121">
        <f>J93+J104</f>
        <v>48728</v>
      </c>
      <c r="K114" s="122"/>
      <c r="L114" s="122"/>
      <c r="M114" s="122"/>
      <c r="N114" s="123">
        <f>N93+N104</f>
        <v>102681</v>
      </c>
      <c r="O114" s="219"/>
      <c r="P114" s="220"/>
      <c r="Q114" s="220"/>
    </row>
    <row r="115">
      <c r="A115" s="221" t="s">
        <v>83</v>
      </c>
      <c r="B115" s="4"/>
      <c r="C115" s="222">
        <f t="shared" ref="C115:N115" si="35">C107+C96</f>
        <v>10643</v>
      </c>
      <c r="D115" s="222">
        <f t="shared" si="35"/>
        <v>9909</v>
      </c>
      <c r="E115" s="222">
        <f t="shared" si="35"/>
        <v>9520</v>
      </c>
      <c r="F115" s="222">
        <f t="shared" si="35"/>
        <v>9932</v>
      </c>
      <c r="G115" s="222">
        <f t="shared" si="35"/>
        <v>10643</v>
      </c>
      <c r="H115" s="222">
        <f t="shared" si="35"/>
        <v>9909</v>
      </c>
      <c r="I115" s="222">
        <f t="shared" si="35"/>
        <v>9520</v>
      </c>
      <c r="J115" s="222">
        <f t="shared" si="35"/>
        <v>9932</v>
      </c>
      <c r="K115" s="222">
        <f t="shared" si="35"/>
        <v>10643</v>
      </c>
      <c r="L115" s="222">
        <f t="shared" si="35"/>
        <v>9909</v>
      </c>
      <c r="M115" s="222">
        <f t="shared" si="35"/>
        <v>9520</v>
      </c>
      <c r="N115" s="222">
        <f t="shared" si="35"/>
        <v>9920</v>
      </c>
      <c r="O115" s="219"/>
      <c r="P115" s="220"/>
      <c r="Q115" s="220"/>
    </row>
    <row r="116">
      <c r="A116" s="129" t="s">
        <v>84</v>
      </c>
      <c r="B116" s="4"/>
      <c r="C116" s="130">
        <f>SUM(C115)</f>
        <v>10643</v>
      </c>
      <c r="D116" s="130">
        <f t="shared" ref="D116:N116" si="36">C116+D115</f>
        <v>20552</v>
      </c>
      <c r="E116" s="186">
        <f t="shared" si="36"/>
        <v>30072</v>
      </c>
      <c r="F116" s="130">
        <f t="shared" si="36"/>
        <v>40004</v>
      </c>
      <c r="G116" s="130">
        <f t="shared" si="36"/>
        <v>50647</v>
      </c>
      <c r="H116" s="131">
        <f t="shared" si="36"/>
        <v>60556</v>
      </c>
      <c r="I116" s="223">
        <f t="shared" si="36"/>
        <v>70076</v>
      </c>
      <c r="J116" s="130">
        <f t="shared" si="36"/>
        <v>80008</v>
      </c>
      <c r="K116" s="130">
        <f t="shared" si="36"/>
        <v>90651</v>
      </c>
      <c r="L116" s="130">
        <f t="shared" si="36"/>
        <v>100560</v>
      </c>
      <c r="M116" s="130">
        <f t="shared" si="36"/>
        <v>110080</v>
      </c>
      <c r="N116" s="132">
        <f t="shared" si="36"/>
        <v>120000</v>
      </c>
      <c r="O116" s="224"/>
      <c r="P116" s="225"/>
      <c r="Q116" s="225"/>
    </row>
    <row r="117">
      <c r="A117" s="168"/>
      <c r="B117" s="4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70"/>
      <c r="P117" s="93"/>
      <c r="Q117" s="198"/>
    </row>
    <row r="118">
      <c r="A118" s="172"/>
      <c r="B118" s="4"/>
      <c r="C118" s="173"/>
      <c r="D118" s="174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56"/>
      <c r="P118" s="4"/>
      <c r="Q118" s="175"/>
    </row>
    <row r="119">
      <c r="A119" s="168"/>
      <c r="B119" s="4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89"/>
      <c r="P119" s="4"/>
      <c r="Q119" s="169"/>
    </row>
    <row r="122">
      <c r="A122" s="178"/>
      <c r="B122" s="226" t="s">
        <v>96</v>
      </c>
    </row>
    <row r="123">
      <c r="A123" s="178"/>
      <c r="B123" s="227" t="s">
        <v>97</v>
      </c>
      <c r="C123" s="4"/>
      <c r="D123" s="228" t="s">
        <v>98</v>
      </c>
      <c r="E123" s="3"/>
      <c r="F123" s="4"/>
      <c r="G123" s="229" t="s">
        <v>99</v>
      </c>
      <c r="H123" s="3"/>
      <c r="I123" s="4"/>
      <c r="J123" s="230" t="s">
        <v>100</v>
      </c>
      <c r="K123" s="3"/>
      <c r="L123" s="3"/>
      <c r="M123" s="3"/>
      <c r="N123" s="231" t="s">
        <v>101</v>
      </c>
      <c r="O123" s="3"/>
      <c r="P123" s="4"/>
    </row>
    <row r="124">
      <c r="A124" s="178"/>
      <c r="B124" s="227" t="s">
        <v>102</v>
      </c>
      <c r="C124" s="4"/>
      <c r="D124" s="232" t="s">
        <v>103</v>
      </c>
      <c r="E124" s="232" t="s">
        <v>104</v>
      </c>
      <c r="F124" s="232" t="s">
        <v>105</v>
      </c>
      <c r="G124" s="233" t="s">
        <v>103</v>
      </c>
      <c r="H124" s="233" t="s">
        <v>104</v>
      </c>
      <c r="I124" s="233" t="s">
        <v>105</v>
      </c>
      <c r="J124" s="234" t="s">
        <v>106</v>
      </c>
      <c r="K124" s="234" t="s">
        <v>107</v>
      </c>
      <c r="L124" s="235" t="s">
        <v>108</v>
      </c>
      <c r="M124" s="236" t="s">
        <v>109</v>
      </c>
      <c r="N124" s="237" t="s">
        <v>110</v>
      </c>
      <c r="O124" s="3"/>
      <c r="P124" s="4"/>
    </row>
    <row r="125">
      <c r="A125" s="178"/>
      <c r="B125" s="238" t="s">
        <v>111</v>
      </c>
      <c r="C125" s="239" t="s">
        <v>21</v>
      </c>
      <c r="D125" s="240">
        <f>(SUM(C96:F96)/4)/5</f>
        <v>1240.1</v>
      </c>
      <c r="E125" s="240">
        <f>(SUM(G96:J96)/4)/5</f>
        <v>1240.1</v>
      </c>
      <c r="F125" s="240">
        <f>(SUM(K96:N96)/4)/5</f>
        <v>1239.8</v>
      </c>
      <c r="G125" s="241">
        <f>SUM(C96:F96)</f>
        <v>24802</v>
      </c>
      <c r="H125" s="241">
        <f>SUM(G96:J96)</f>
        <v>24802</v>
      </c>
      <c r="I125" s="241">
        <f>SUM(K96:N96)</f>
        <v>24796</v>
      </c>
      <c r="J125" s="241">
        <f>SUM(C96:N96)</f>
        <v>74400</v>
      </c>
      <c r="K125" s="241">
        <f t="shared" ref="K125:L125" si="37">J125</f>
        <v>74400</v>
      </c>
      <c r="L125" s="242">
        <f t="shared" si="37"/>
        <v>74400</v>
      </c>
      <c r="M125" s="243" t="s">
        <v>112</v>
      </c>
      <c r="N125" s="242">
        <f t="shared" ref="N125:N126" si="38">SUM(J125:L125)</f>
        <v>223200</v>
      </c>
      <c r="O125" s="3"/>
      <c r="P125" s="4"/>
    </row>
    <row r="126">
      <c r="A126" s="178"/>
      <c r="B126" s="17"/>
      <c r="C126" s="244" t="s">
        <v>22</v>
      </c>
      <c r="D126" s="245">
        <f>(SUM(C107:F107)/4)/5</f>
        <v>760.1</v>
      </c>
      <c r="E126" s="245">
        <f>(SUM(G73:J73)/4)/5</f>
        <v>416.8</v>
      </c>
      <c r="F126" s="245">
        <f>(SUM(K62:N62)/4)/5</f>
        <v>666.4</v>
      </c>
      <c r="G126" s="246">
        <f>SUM(C107:F107)</f>
        <v>15202</v>
      </c>
      <c r="H126" s="246">
        <f>SUM(G107:J107)</f>
        <v>15202</v>
      </c>
      <c r="I126" s="246">
        <f>SUM(K107:N107)</f>
        <v>15196</v>
      </c>
      <c r="J126" s="246">
        <f>SUM(C107:N107)</f>
        <v>45600</v>
      </c>
      <c r="K126" s="246">
        <f>SUM(G126:I126)</f>
        <v>45600</v>
      </c>
      <c r="L126" s="246">
        <f>SUM(G126:I126)</f>
        <v>45600</v>
      </c>
      <c r="M126" s="247" t="s">
        <v>112</v>
      </c>
      <c r="N126" s="248">
        <f t="shared" si="38"/>
        <v>136800</v>
      </c>
      <c r="O126" s="3"/>
      <c r="P126" s="4"/>
    </row>
    <row r="127">
      <c r="A127" s="178"/>
    </row>
    <row r="128">
      <c r="A128" s="178"/>
    </row>
    <row r="129">
      <c r="A129" s="178"/>
    </row>
    <row r="130">
      <c r="A130" s="178"/>
    </row>
    <row r="13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</row>
    <row r="132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</row>
    <row r="133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</row>
    <row r="134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</row>
    <row r="135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</row>
    <row r="136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</row>
    <row r="137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</row>
    <row r="138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</row>
    <row r="139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</row>
    <row r="140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</row>
    <row r="14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</row>
    <row r="142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</row>
    <row r="143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</row>
    <row r="144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</row>
    <row r="145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</row>
    <row r="146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</row>
    <row r="147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</row>
    <row r="148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</row>
    <row r="149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</row>
    <row r="150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</row>
    <row r="15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</row>
    <row r="152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</row>
    <row r="153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</row>
    <row r="154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</row>
    <row r="155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</row>
    <row r="156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</row>
    <row r="157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</row>
    <row r="158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</row>
    <row r="159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</row>
    <row r="160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</row>
    <row r="16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</row>
    <row r="162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</row>
    <row r="163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</row>
    <row r="164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</row>
    <row r="165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</row>
    <row r="166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</row>
    <row r="167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</row>
    <row r="168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</row>
    <row r="169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</row>
    <row r="170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</row>
    <row r="17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</row>
    <row r="172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</row>
    <row r="173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</row>
    <row r="174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</row>
    <row r="175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</row>
    <row r="176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</row>
    <row r="177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</row>
    <row r="178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</row>
    <row r="179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</row>
    <row r="180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</row>
    <row r="18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</row>
    <row r="182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</row>
    <row r="183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</row>
    <row r="184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</row>
    <row r="185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</row>
    <row r="186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</row>
    <row r="187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</row>
    <row r="188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</row>
    <row r="189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</row>
    <row r="190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</row>
    <row r="19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</row>
    <row r="192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</row>
    <row r="193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</row>
    <row r="194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</row>
    <row r="195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</row>
    <row r="196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</row>
    <row r="197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</row>
    <row r="198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</row>
    <row r="199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</row>
    <row r="200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</row>
    <row r="20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</row>
    <row r="202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</row>
    <row r="203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</row>
    <row r="204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</row>
    <row r="205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</row>
    <row r="206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</row>
    <row r="207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</row>
    <row r="208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</row>
    <row r="209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</row>
    <row r="210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</row>
    <row r="21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</row>
    <row r="212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</row>
    <row r="213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</row>
    <row r="214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</row>
    <row r="215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</row>
    <row r="216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</row>
    <row r="217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</row>
    <row r="218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</row>
    <row r="219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</row>
    <row r="220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</row>
    <row r="22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</row>
    <row r="222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</row>
    <row r="223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</row>
    <row r="224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</row>
    <row r="225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</row>
    <row r="226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</row>
    <row r="227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</row>
    <row r="228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</row>
    <row r="229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</row>
    <row r="230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</row>
    <row r="23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</row>
    <row r="232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</row>
    <row r="233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</row>
    <row r="234">
      <c r="A234" s="178"/>
    </row>
    <row r="235">
      <c r="A235" s="178"/>
    </row>
    <row r="236">
      <c r="A236" s="178"/>
    </row>
    <row r="237">
      <c r="A237" s="178"/>
    </row>
    <row r="238">
      <c r="A238" s="178"/>
    </row>
    <row r="239">
      <c r="A239" s="178"/>
    </row>
    <row r="240">
      <c r="A240" s="178"/>
    </row>
    <row r="241">
      <c r="A241" s="178"/>
    </row>
    <row r="242">
      <c r="A242" s="178"/>
    </row>
    <row r="243">
      <c r="A243" s="178"/>
    </row>
    <row r="244">
      <c r="A244" s="178"/>
    </row>
    <row r="245">
      <c r="A245" s="178"/>
    </row>
    <row r="246">
      <c r="A246" s="178"/>
    </row>
    <row r="247">
      <c r="A247" s="178"/>
    </row>
    <row r="248">
      <c r="A248" s="178"/>
    </row>
    <row r="249">
      <c r="A249" s="178"/>
    </row>
    <row r="250">
      <c r="A250" s="178"/>
    </row>
    <row r="251">
      <c r="A251" s="178"/>
    </row>
    <row r="252">
      <c r="A252" s="178"/>
    </row>
    <row r="253">
      <c r="A253" s="178"/>
    </row>
    <row r="254">
      <c r="A254" s="178"/>
    </row>
    <row r="255">
      <c r="A255" s="178"/>
    </row>
    <row r="256">
      <c r="A256" s="178"/>
    </row>
    <row r="257">
      <c r="A257" s="178"/>
    </row>
    <row r="258">
      <c r="A258" s="178"/>
    </row>
    <row r="259">
      <c r="A259" s="178"/>
    </row>
    <row r="260">
      <c r="A260" s="178"/>
    </row>
    <row r="261">
      <c r="A261" s="178"/>
    </row>
    <row r="262">
      <c r="A262" s="178"/>
    </row>
    <row r="263">
      <c r="A263" s="178"/>
    </row>
    <row r="264">
      <c r="A264" s="178"/>
    </row>
    <row r="265">
      <c r="A265" s="178"/>
    </row>
    <row r="266">
      <c r="A266" s="178"/>
    </row>
    <row r="267">
      <c r="A267" s="178"/>
    </row>
    <row r="268">
      <c r="A268" s="178"/>
    </row>
    <row r="269">
      <c r="A269" s="178"/>
    </row>
    <row r="270">
      <c r="A270" s="178"/>
    </row>
    <row r="271">
      <c r="A271" s="178"/>
    </row>
    <row r="272">
      <c r="A272" s="178"/>
    </row>
    <row r="273">
      <c r="A273" s="178"/>
    </row>
    <row r="274">
      <c r="A274" s="178"/>
    </row>
    <row r="275">
      <c r="A275" s="178"/>
    </row>
    <row r="276">
      <c r="A276" s="178"/>
    </row>
    <row r="277">
      <c r="A277" s="178"/>
    </row>
    <row r="278">
      <c r="A278" s="178"/>
    </row>
    <row r="279">
      <c r="A279" s="178"/>
    </row>
    <row r="280">
      <c r="A280" s="178"/>
    </row>
    <row r="281">
      <c r="A281" s="178"/>
    </row>
    <row r="282">
      <c r="A282" s="178"/>
    </row>
    <row r="283">
      <c r="A283" s="178"/>
    </row>
    <row r="284">
      <c r="A284" s="178"/>
    </row>
    <row r="285">
      <c r="A285" s="178"/>
    </row>
    <row r="286">
      <c r="A286" s="178"/>
    </row>
    <row r="287">
      <c r="A287" s="178"/>
    </row>
    <row r="288">
      <c r="A288" s="178"/>
    </row>
    <row r="289">
      <c r="A289" s="178"/>
    </row>
    <row r="290">
      <c r="A290" s="178"/>
    </row>
    <row r="291">
      <c r="A291" s="178"/>
    </row>
    <row r="292">
      <c r="A292" s="178"/>
    </row>
    <row r="293">
      <c r="A293" s="178"/>
    </row>
    <row r="294">
      <c r="A294" s="178"/>
    </row>
    <row r="295">
      <c r="A295" s="178"/>
    </row>
    <row r="296">
      <c r="A296" s="178"/>
    </row>
    <row r="297">
      <c r="A297" s="178"/>
    </row>
    <row r="298">
      <c r="A298" s="178"/>
    </row>
    <row r="299">
      <c r="A299" s="178"/>
    </row>
    <row r="300">
      <c r="A300" s="178"/>
    </row>
    <row r="301">
      <c r="A301" s="178"/>
    </row>
    <row r="302">
      <c r="A302" s="178"/>
    </row>
    <row r="303">
      <c r="A303" s="178"/>
    </row>
    <row r="304">
      <c r="A304" s="178"/>
    </row>
    <row r="305">
      <c r="A305" s="178"/>
    </row>
    <row r="306">
      <c r="A306" s="178"/>
    </row>
    <row r="307">
      <c r="A307" s="178"/>
    </row>
    <row r="308">
      <c r="A308" s="178"/>
    </row>
    <row r="309">
      <c r="A309" s="178"/>
    </row>
    <row r="310">
      <c r="A310" s="178"/>
    </row>
    <row r="311">
      <c r="A311" s="178"/>
    </row>
    <row r="312">
      <c r="A312" s="178"/>
    </row>
    <row r="313">
      <c r="A313" s="178"/>
    </row>
    <row r="314">
      <c r="A314" s="178"/>
    </row>
    <row r="315">
      <c r="A315" s="178"/>
    </row>
    <row r="316">
      <c r="A316" s="178"/>
    </row>
    <row r="317">
      <c r="A317" s="178"/>
    </row>
    <row r="318">
      <c r="A318" s="178"/>
    </row>
    <row r="319">
      <c r="A319" s="178"/>
    </row>
    <row r="320">
      <c r="A320" s="178"/>
    </row>
    <row r="321">
      <c r="A321" s="178"/>
    </row>
    <row r="322">
      <c r="A322" s="178"/>
    </row>
    <row r="323">
      <c r="A323" s="178"/>
    </row>
    <row r="324">
      <c r="A324" s="178"/>
    </row>
    <row r="325">
      <c r="A325" s="178"/>
    </row>
    <row r="326">
      <c r="A326" s="178"/>
    </row>
    <row r="327">
      <c r="A327" s="178"/>
    </row>
    <row r="328">
      <c r="A328" s="178"/>
    </row>
    <row r="329">
      <c r="A329" s="178"/>
    </row>
    <row r="330">
      <c r="A330" s="178"/>
    </row>
    <row r="331">
      <c r="A331" s="178"/>
    </row>
    <row r="332">
      <c r="A332" s="178"/>
    </row>
    <row r="333">
      <c r="A333" s="178"/>
    </row>
    <row r="334">
      <c r="A334" s="178"/>
    </row>
    <row r="335">
      <c r="A335" s="178"/>
    </row>
    <row r="336">
      <c r="A336" s="178"/>
    </row>
    <row r="337">
      <c r="A337" s="178"/>
    </row>
    <row r="338">
      <c r="A338" s="178"/>
    </row>
    <row r="339">
      <c r="A339" s="178"/>
    </row>
    <row r="340">
      <c r="A340" s="178"/>
    </row>
    <row r="341">
      <c r="A341" s="178"/>
    </row>
    <row r="342">
      <c r="A342" s="178"/>
    </row>
    <row r="343">
      <c r="A343" s="178"/>
    </row>
    <row r="344">
      <c r="A344" s="178"/>
    </row>
    <row r="345">
      <c r="A345" s="178"/>
    </row>
    <row r="346">
      <c r="A346" s="178"/>
    </row>
    <row r="347">
      <c r="A347" s="178"/>
    </row>
    <row r="348">
      <c r="A348" s="178"/>
    </row>
    <row r="349">
      <c r="A349" s="178"/>
    </row>
    <row r="350">
      <c r="A350" s="178"/>
    </row>
    <row r="351">
      <c r="A351" s="178"/>
    </row>
    <row r="352">
      <c r="A352" s="178"/>
    </row>
    <row r="353">
      <c r="A353" s="178"/>
    </row>
    <row r="354">
      <c r="A354" s="178"/>
    </row>
    <row r="355">
      <c r="A355" s="178"/>
    </row>
    <row r="356">
      <c r="A356" s="178"/>
    </row>
    <row r="357">
      <c r="A357" s="178"/>
    </row>
    <row r="358">
      <c r="A358" s="178"/>
    </row>
    <row r="359">
      <c r="A359" s="178"/>
    </row>
    <row r="360">
      <c r="A360" s="178"/>
    </row>
    <row r="361">
      <c r="A361" s="178"/>
    </row>
    <row r="362">
      <c r="A362" s="178"/>
    </row>
    <row r="363">
      <c r="A363" s="178"/>
    </row>
    <row r="364">
      <c r="A364" s="178"/>
    </row>
    <row r="365">
      <c r="A365" s="178"/>
    </row>
    <row r="366">
      <c r="A366" s="178"/>
    </row>
    <row r="367">
      <c r="A367" s="178"/>
    </row>
    <row r="368">
      <c r="A368" s="178"/>
    </row>
    <row r="369">
      <c r="A369" s="178"/>
    </row>
    <row r="370">
      <c r="A370" s="178"/>
    </row>
    <row r="371">
      <c r="A371" s="178"/>
    </row>
    <row r="372">
      <c r="A372" s="178"/>
    </row>
    <row r="373">
      <c r="A373" s="178"/>
    </row>
    <row r="374">
      <c r="A374" s="178"/>
    </row>
    <row r="375">
      <c r="A375" s="178"/>
    </row>
    <row r="376">
      <c r="A376" s="178"/>
    </row>
    <row r="377">
      <c r="A377" s="178"/>
    </row>
    <row r="378">
      <c r="A378" s="178"/>
    </row>
    <row r="379">
      <c r="A379" s="178"/>
    </row>
    <row r="380">
      <c r="A380" s="178"/>
    </row>
    <row r="381">
      <c r="A381" s="178"/>
    </row>
    <row r="382">
      <c r="A382" s="178"/>
    </row>
    <row r="383">
      <c r="A383" s="178"/>
    </row>
    <row r="384">
      <c r="A384" s="178"/>
    </row>
    <row r="385">
      <c r="A385" s="178"/>
    </row>
    <row r="386">
      <c r="A386" s="178"/>
    </row>
    <row r="387">
      <c r="A387" s="178"/>
    </row>
    <row r="388">
      <c r="A388" s="178"/>
    </row>
    <row r="389">
      <c r="A389" s="178"/>
    </row>
    <row r="390">
      <c r="A390" s="178"/>
    </row>
    <row r="391">
      <c r="A391" s="178"/>
    </row>
    <row r="392">
      <c r="A392" s="178"/>
    </row>
    <row r="393">
      <c r="A393" s="178"/>
    </row>
    <row r="394">
      <c r="A394" s="178"/>
    </row>
    <row r="395">
      <c r="A395" s="178"/>
    </row>
    <row r="396">
      <c r="A396" s="178"/>
    </row>
    <row r="397">
      <c r="A397" s="178"/>
    </row>
    <row r="398">
      <c r="A398" s="178"/>
    </row>
    <row r="399">
      <c r="A399" s="178"/>
    </row>
    <row r="400">
      <c r="A400" s="178"/>
    </row>
    <row r="401">
      <c r="A401" s="178"/>
    </row>
    <row r="402">
      <c r="A402" s="178"/>
    </row>
    <row r="403">
      <c r="A403" s="178"/>
    </row>
    <row r="404">
      <c r="A404" s="178"/>
    </row>
    <row r="405">
      <c r="A405" s="178"/>
    </row>
    <row r="406">
      <c r="A406" s="178"/>
    </row>
    <row r="407">
      <c r="A407" s="178"/>
    </row>
    <row r="408">
      <c r="A408" s="178"/>
    </row>
    <row r="409">
      <c r="A409" s="178"/>
    </row>
    <row r="410">
      <c r="A410" s="178"/>
    </row>
    <row r="411">
      <c r="A411" s="178"/>
    </row>
    <row r="412">
      <c r="A412" s="178"/>
    </row>
    <row r="413">
      <c r="A413" s="178"/>
    </row>
    <row r="414">
      <c r="A414" s="178"/>
    </row>
    <row r="415">
      <c r="A415" s="178"/>
    </row>
    <row r="416">
      <c r="A416" s="178"/>
    </row>
    <row r="417">
      <c r="A417" s="178"/>
    </row>
    <row r="418">
      <c r="A418" s="178"/>
    </row>
    <row r="419">
      <c r="A419" s="178"/>
    </row>
    <row r="420">
      <c r="A420" s="178"/>
    </row>
    <row r="421">
      <c r="A421" s="178"/>
    </row>
    <row r="422">
      <c r="A422" s="178"/>
    </row>
    <row r="423">
      <c r="A423" s="178"/>
    </row>
    <row r="424">
      <c r="A424" s="178"/>
    </row>
    <row r="425">
      <c r="A425" s="178"/>
    </row>
    <row r="426">
      <c r="A426" s="178"/>
    </row>
    <row r="427">
      <c r="A427" s="178"/>
    </row>
    <row r="428">
      <c r="A428" s="178"/>
    </row>
    <row r="429">
      <c r="A429" s="178"/>
    </row>
    <row r="430">
      <c r="A430" s="178"/>
    </row>
    <row r="431">
      <c r="A431" s="178"/>
    </row>
    <row r="432">
      <c r="A432" s="178"/>
    </row>
    <row r="433">
      <c r="A433" s="178"/>
    </row>
    <row r="434">
      <c r="A434" s="178"/>
    </row>
    <row r="435">
      <c r="A435" s="178"/>
    </row>
    <row r="436">
      <c r="A436" s="178"/>
    </row>
    <row r="437">
      <c r="A437" s="178"/>
    </row>
    <row r="438">
      <c r="A438" s="178"/>
    </row>
    <row r="439">
      <c r="A439" s="178"/>
    </row>
    <row r="440">
      <c r="A440" s="178"/>
    </row>
    <row r="441">
      <c r="A441" s="178"/>
    </row>
    <row r="442">
      <c r="A442" s="178"/>
    </row>
    <row r="443">
      <c r="A443" s="178"/>
    </row>
    <row r="444">
      <c r="A444" s="178"/>
    </row>
    <row r="445">
      <c r="A445" s="178"/>
    </row>
    <row r="446">
      <c r="A446" s="178"/>
    </row>
    <row r="447">
      <c r="A447" s="178"/>
    </row>
    <row r="448">
      <c r="A448" s="178"/>
    </row>
    <row r="449">
      <c r="A449" s="178"/>
    </row>
    <row r="450">
      <c r="A450" s="178"/>
    </row>
    <row r="451">
      <c r="A451" s="178"/>
    </row>
    <row r="452">
      <c r="A452" s="178"/>
    </row>
    <row r="453">
      <c r="A453" s="178"/>
    </row>
    <row r="454">
      <c r="A454" s="178"/>
    </row>
    <row r="455">
      <c r="A455" s="178"/>
    </row>
    <row r="456">
      <c r="A456" s="178"/>
    </row>
    <row r="457">
      <c r="A457" s="178"/>
    </row>
    <row r="458">
      <c r="A458" s="178"/>
    </row>
    <row r="459">
      <c r="A459" s="178"/>
    </row>
    <row r="460">
      <c r="A460" s="178"/>
    </row>
    <row r="461">
      <c r="A461" s="178"/>
    </row>
    <row r="462">
      <c r="A462" s="178"/>
    </row>
    <row r="463">
      <c r="A463" s="178"/>
    </row>
    <row r="464">
      <c r="A464" s="178"/>
    </row>
    <row r="465">
      <c r="A465" s="178"/>
    </row>
    <row r="466">
      <c r="A466" s="178"/>
    </row>
    <row r="467">
      <c r="A467" s="178"/>
    </row>
    <row r="468">
      <c r="A468" s="178"/>
    </row>
    <row r="469">
      <c r="A469" s="178"/>
    </row>
    <row r="470">
      <c r="A470" s="178"/>
    </row>
    <row r="471">
      <c r="A471" s="178"/>
    </row>
    <row r="472">
      <c r="A472" s="178"/>
    </row>
    <row r="473">
      <c r="A473" s="178"/>
    </row>
    <row r="474">
      <c r="A474" s="178"/>
    </row>
    <row r="475">
      <c r="A475" s="178"/>
    </row>
    <row r="476">
      <c r="A476" s="178"/>
    </row>
    <row r="477">
      <c r="A477" s="178"/>
    </row>
    <row r="478">
      <c r="A478" s="178"/>
    </row>
    <row r="479">
      <c r="A479" s="178"/>
    </row>
    <row r="480">
      <c r="A480" s="178"/>
    </row>
    <row r="481">
      <c r="A481" s="178"/>
    </row>
    <row r="482">
      <c r="A482" s="178"/>
    </row>
    <row r="483">
      <c r="A483" s="178"/>
    </row>
    <row r="484">
      <c r="A484" s="178"/>
    </row>
    <row r="485">
      <c r="A485" s="178"/>
    </row>
    <row r="486">
      <c r="A486" s="178"/>
    </row>
    <row r="487">
      <c r="A487" s="178"/>
    </row>
    <row r="488">
      <c r="A488" s="178"/>
    </row>
    <row r="489">
      <c r="A489" s="178"/>
    </row>
    <row r="490">
      <c r="A490" s="178"/>
    </row>
    <row r="491">
      <c r="A491" s="178"/>
    </row>
    <row r="492">
      <c r="A492" s="178"/>
    </row>
    <row r="493">
      <c r="A493" s="178"/>
    </row>
    <row r="494">
      <c r="A494" s="178"/>
    </row>
    <row r="495">
      <c r="A495" s="178"/>
    </row>
    <row r="496">
      <c r="A496" s="178"/>
    </row>
    <row r="497">
      <c r="A497" s="178"/>
    </row>
    <row r="498">
      <c r="A498" s="178"/>
    </row>
    <row r="499">
      <c r="A499" s="178"/>
    </row>
    <row r="500">
      <c r="A500" s="178"/>
    </row>
    <row r="501">
      <c r="A501" s="178"/>
    </row>
    <row r="502">
      <c r="A502" s="178"/>
    </row>
    <row r="503">
      <c r="A503" s="178"/>
    </row>
    <row r="504">
      <c r="A504" s="178"/>
    </row>
    <row r="505">
      <c r="A505" s="178"/>
    </row>
    <row r="506">
      <c r="A506" s="178"/>
    </row>
    <row r="507">
      <c r="A507" s="178"/>
    </row>
    <row r="508">
      <c r="A508" s="178"/>
    </row>
    <row r="509">
      <c r="A509" s="178"/>
    </row>
    <row r="510">
      <c r="A510" s="178"/>
    </row>
    <row r="511">
      <c r="A511" s="178"/>
    </row>
    <row r="512">
      <c r="A512" s="178"/>
    </row>
    <row r="513">
      <c r="A513" s="178"/>
    </row>
    <row r="514">
      <c r="A514" s="178"/>
    </row>
    <row r="515">
      <c r="A515" s="178"/>
    </row>
    <row r="516">
      <c r="A516" s="178"/>
    </row>
    <row r="517">
      <c r="A517" s="178"/>
    </row>
    <row r="518">
      <c r="A518" s="178"/>
    </row>
    <row r="519">
      <c r="A519" s="178"/>
    </row>
    <row r="520">
      <c r="A520" s="178"/>
    </row>
    <row r="521">
      <c r="A521" s="178"/>
    </row>
    <row r="522">
      <c r="A522" s="178"/>
    </row>
    <row r="523">
      <c r="A523" s="178"/>
    </row>
    <row r="524">
      <c r="A524" s="178"/>
    </row>
    <row r="525">
      <c r="A525" s="178"/>
    </row>
    <row r="526">
      <c r="A526" s="178"/>
    </row>
    <row r="527">
      <c r="A527" s="178"/>
    </row>
    <row r="528">
      <c r="A528" s="178"/>
    </row>
    <row r="529">
      <c r="A529" s="178"/>
    </row>
    <row r="530">
      <c r="A530" s="178"/>
    </row>
    <row r="531">
      <c r="A531" s="178"/>
    </row>
    <row r="532">
      <c r="A532" s="178"/>
    </row>
    <row r="533">
      <c r="A533" s="178"/>
    </row>
    <row r="534">
      <c r="A534" s="178"/>
    </row>
    <row r="535">
      <c r="A535" s="178"/>
    </row>
    <row r="536">
      <c r="A536" s="178"/>
    </row>
    <row r="537">
      <c r="A537" s="178"/>
    </row>
    <row r="538">
      <c r="A538" s="178"/>
    </row>
    <row r="539">
      <c r="A539" s="178"/>
    </row>
    <row r="540">
      <c r="A540" s="178"/>
    </row>
    <row r="541">
      <c r="A541" s="178"/>
    </row>
    <row r="542">
      <c r="A542" s="178"/>
    </row>
    <row r="543">
      <c r="A543" s="178"/>
    </row>
    <row r="544">
      <c r="A544" s="178"/>
    </row>
    <row r="545">
      <c r="A545" s="178"/>
    </row>
    <row r="546">
      <c r="A546" s="178"/>
    </row>
    <row r="547">
      <c r="A547" s="178"/>
    </row>
    <row r="548">
      <c r="A548" s="178"/>
    </row>
    <row r="549">
      <c r="A549" s="178"/>
    </row>
    <row r="550">
      <c r="A550" s="178"/>
    </row>
    <row r="551">
      <c r="A551" s="178"/>
    </row>
    <row r="552">
      <c r="A552" s="178"/>
    </row>
    <row r="553">
      <c r="A553" s="178"/>
    </row>
    <row r="554">
      <c r="A554" s="178"/>
    </row>
    <row r="555">
      <c r="A555" s="178"/>
    </row>
    <row r="556">
      <c r="A556" s="178"/>
    </row>
    <row r="557">
      <c r="A557" s="178"/>
    </row>
    <row r="558">
      <c r="A558" s="178"/>
    </row>
    <row r="559">
      <c r="A559" s="178"/>
    </row>
    <row r="560">
      <c r="A560" s="178"/>
    </row>
    <row r="561">
      <c r="A561" s="178"/>
    </row>
    <row r="562">
      <c r="A562" s="178"/>
    </row>
    <row r="563">
      <c r="A563" s="178"/>
    </row>
    <row r="564">
      <c r="A564" s="178"/>
    </row>
    <row r="565">
      <c r="A565" s="178"/>
    </row>
    <row r="566">
      <c r="A566" s="178"/>
    </row>
    <row r="567">
      <c r="A567" s="178"/>
    </row>
    <row r="568">
      <c r="A568" s="178"/>
    </row>
    <row r="569">
      <c r="A569" s="178"/>
    </row>
    <row r="570">
      <c r="A570" s="178"/>
    </row>
    <row r="571">
      <c r="A571" s="178"/>
    </row>
    <row r="572">
      <c r="A572" s="178"/>
    </row>
    <row r="573">
      <c r="A573" s="178"/>
    </row>
    <row r="574">
      <c r="A574" s="178"/>
    </row>
    <row r="575">
      <c r="A575" s="178"/>
    </row>
    <row r="576">
      <c r="A576" s="178"/>
    </row>
    <row r="577">
      <c r="A577" s="178"/>
    </row>
    <row r="578">
      <c r="A578" s="178"/>
    </row>
    <row r="579">
      <c r="A579" s="178"/>
    </row>
    <row r="580">
      <c r="A580" s="178"/>
    </row>
    <row r="581">
      <c r="A581" s="178"/>
    </row>
    <row r="582">
      <c r="A582" s="178"/>
    </row>
    <row r="583">
      <c r="A583" s="178"/>
    </row>
    <row r="584">
      <c r="A584" s="178"/>
    </row>
    <row r="585">
      <c r="A585" s="178"/>
    </row>
    <row r="586">
      <c r="A586" s="178"/>
    </row>
    <row r="587">
      <c r="A587" s="178"/>
    </row>
    <row r="588">
      <c r="A588" s="178"/>
    </row>
    <row r="589">
      <c r="A589" s="178"/>
    </row>
    <row r="590">
      <c r="A590" s="178"/>
    </row>
    <row r="591">
      <c r="A591" s="178"/>
    </row>
    <row r="592">
      <c r="A592" s="178"/>
    </row>
    <row r="593">
      <c r="A593" s="178"/>
    </row>
    <row r="594">
      <c r="A594" s="178"/>
    </row>
    <row r="595">
      <c r="A595" s="178"/>
    </row>
    <row r="596">
      <c r="A596" s="178"/>
    </row>
    <row r="597">
      <c r="A597" s="178"/>
    </row>
    <row r="598">
      <c r="A598" s="178"/>
    </row>
    <row r="599">
      <c r="A599" s="178"/>
    </row>
    <row r="600">
      <c r="A600" s="178"/>
    </row>
    <row r="601">
      <c r="A601" s="178"/>
    </row>
    <row r="602">
      <c r="A602" s="178"/>
    </row>
    <row r="603">
      <c r="A603" s="178"/>
    </row>
    <row r="604">
      <c r="A604" s="178"/>
    </row>
    <row r="605">
      <c r="A605" s="178"/>
    </row>
    <row r="606">
      <c r="A606" s="178"/>
    </row>
    <row r="607">
      <c r="A607" s="178"/>
    </row>
    <row r="608">
      <c r="A608" s="178"/>
    </row>
    <row r="609">
      <c r="A609" s="178"/>
    </row>
    <row r="610">
      <c r="A610" s="178"/>
    </row>
    <row r="611">
      <c r="A611" s="178"/>
    </row>
    <row r="612">
      <c r="A612" s="178"/>
    </row>
    <row r="613">
      <c r="A613" s="178"/>
    </row>
    <row r="614">
      <c r="A614" s="178"/>
    </row>
    <row r="615">
      <c r="A615" s="178"/>
    </row>
    <row r="616">
      <c r="A616" s="178"/>
    </row>
    <row r="617">
      <c r="A617" s="178"/>
    </row>
    <row r="618">
      <c r="A618" s="178"/>
    </row>
    <row r="619">
      <c r="A619" s="178"/>
    </row>
    <row r="620">
      <c r="A620" s="178"/>
    </row>
    <row r="621">
      <c r="A621" s="178"/>
    </row>
    <row r="622">
      <c r="A622" s="178"/>
    </row>
    <row r="623">
      <c r="A623" s="178"/>
    </row>
    <row r="624">
      <c r="A624" s="178"/>
    </row>
    <row r="625">
      <c r="A625" s="178"/>
    </row>
    <row r="626">
      <c r="A626" s="178"/>
    </row>
    <row r="627">
      <c r="A627" s="178"/>
    </row>
    <row r="628">
      <c r="A628" s="178"/>
    </row>
    <row r="629">
      <c r="A629" s="178"/>
    </row>
    <row r="630">
      <c r="A630" s="178"/>
    </row>
    <row r="631">
      <c r="A631" s="178"/>
    </row>
    <row r="632">
      <c r="A632" s="178"/>
    </row>
    <row r="633">
      <c r="A633" s="178"/>
    </row>
    <row r="634">
      <c r="A634" s="178"/>
    </row>
    <row r="635">
      <c r="A635" s="178"/>
    </row>
    <row r="636">
      <c r="A636" s="178"/>
    </row>
    <row r="637">
      <c r="A637" s="178"/>
    </row>
    <row r="638">
      <c r="A638" s="178"/>
    </row>
    <row r="639">
      <c r="A639" s="178"/>
    </row>
    <row r="640">
      <c r="A640" s="178"/>
    </row>
    <row r="641">
      <c r="A641" s="178"/>
    </row>
    <row r="642">
      <c r="A642" s="178"/>
    </row>
    <row r="643">
      <c r="A643" s="178"/>
    </row>
    <row r="644">
      <c r="A644" s="178"/>
    </row>
    <row r="645">
      <c r="A645" s="178"/>
    </row>
    <row r="646">
      <c r="A646" s="178"/>
    </row>
    <row r="647">
      <c r="A647" s="178"/>
    </row>
    <row r="648">
      <c r="A648" s="178"/>
    </row>
    <row r="649">
      <c r="A649" s="178"/>
    </row>
    <row r="650">
      <c r="A650" s="178"/>
    </row>
    <row r="651">
      <c r="A651" s="178"/>
    </row>
    <row r="652">
      <c r="A652" s="178"/>
    </row>
    <row r="653">
      <c r="A653" s="178"/>
    </row>
    <row r="654">
      <c r="A654" s="178"/>
    </row>
    <row r="655">
      <c r="A655" s="178"/>
    </row>
    <row r="656">
      <c r="A656" s="178"/>
    </row>
    <row r="657">
      <c r="A657" s="178"/>
    </row>
    <row r="658">
      <c r="A658" s="178"/>
    </row>
    <row r="659">
      <c r="A659" s="178"/>
    </row>
    <row r="660">
      <c r="A660" s="178"/>
    </row>
    <row r="661">
      <c r="A661" s="178"/>
    </row>
    <row r="662">
      <c r="A662" s="178"/>
    </row>
    <row r="663">
      <c r="A663" s="178"/>
    </row>
    <row r="664">
      <c r="A664" s="178"/>
    </row>
    <row r="665">
      <c r="A665" s="178"/>
    </row>
    <row r="666">
      <c r="A666" s="178"/>
    </row>
    <row r="667">
      <c r="A667" s="178"/>
    </row>
    <row r="668">
      <c r="A668" s="178"/>
    </row>
    <row r="669">
      <c r="A669" s="178"/>
    </row>
    <row r="670">
      <c r="A670" s="178"/>
    </row>
    <row r="671">
      <c r="A671" s="178"/>
    </row>
    <row r="672">
      <c r="A672" s="178"/>
    </row>
    <row r="673">
      <c r="A673" s="178"/>
    </row>
    <row r="674">
      <c r="A674" s="178"/>
    </row>
    <row r="675">
      <c r="A675" s="178"/>
    </row>
    <row r="676">
      <c r="A676" s="178"/>
    </row>
    <row r="677">
      <c r="A677" s="178"/>
    </row>
    <row r="678">
      <c r="A678" s="178"/>
    </row>
    <row r="679">
      <c r="A679" s="178"/>
    </row>
    <row r="680">
      <c r="A680" s="178"/>
    </row>
    <row r="681">
      <c r="A681" s="178"/>
    </row>
    <row r="682">
      <c r="A682" s="178"/>
    </row>
    <row r="683">
      <c r="A683" s="178"/>
    </row>
    <row r="684">
      <c r="A684" s="178"/>
    </row>
    <row r="685">
      <c r="A685" s="178"/>
    </row>
    <row r="686">
      <c r="A686" s="178"/>
    </row>
    <row r="687">
      <c r="A687" s="178"/>
    </row>
    <row r="688">
      <c r="A688" s="178"/>
    </row>
    <row r="689">
      <c r="A689" s="178"/>
    </row>
    <row r="690">
      <c r="A690" s="178"/>
    </row>
    <row r="691">
      <c r="A691" s="178"/>
    </row>
    <row r="692">
      <c r="A692" s="178"/>
    </row>
    <row r="693">
      <c r="A693" s="178"/>
    </row>
    <row r="694">
      <c r="A694" s="178"/>
    </row>
    <row r="695">
      <c r="A695" s="178"/>
    </row>
    <row r="696">
      <c r="A696" s="178"/>
    </row>
    <row r="697">
      <c r="A697" s="178"/>
    </row>
    <row r="698">
      <c r="A698" s="178"/>
    </row>
    <row r="699">
      <c r="A699" s="178"/>
    </row>
    <row r="700">
      <c r="A700" s="178"/>
    </row>
    <row r="701">
      <c r="A701" s="178"/>
    </row>
    <row r="702">
      <c r="A702" s="178"/>
    </row>
    <row r="703">
      <c r="A703" s="178"/>
    </row>
    <row r="704">
      <c r="A704" s="178"/>
    </row>
    <row r="705">
      <c r="A705" s="178"/>
    </row>
    <row r="706">
      <c r="A706" s="178"/>
    </row>
    <row r="707">
      <c r="A707" s="178"/>
    </row>
    <row r="708">
      <c r="A708" s="178"/>
    </row>
    <row r="709">
      <c r="A709" s="178"/>
    </row>
    <row r="710">
      <c r="A710" s="178"/>
    </row>
    <row r="711">
      <c r="A711" s="178"/>
    </row>
    <row r="712">
      <c r="A712" s="178"/>
    </row>
    <row r="713">
      <c r="A713" s="178"/>
    </row>
    <row r="714">
      <c r="A714" s="178"/>
    </row>
    <row r="715">
      <c r="A715" s="178"/>
    </row>
    <row r="716">
      <c r="A716" s="178"/>
    </row>
    <row r="717">
      <c r="A717" s="178"/>
    </row>
    <row r="718">
      <c r="A718" s="178"/>
    </row>
    <row r="719">
      <c r="A719" s="178"/>
    </row>
    <row r="720">
      <c r="A720" s="178"/>
    </row>
    <row r="721">
      <c r="A721" s="178"/>
    </row>
    <row r="722">
      <c r="A722" s="178"/>
    </row>
    <row r="723">
      <c r="A723" s="178"/>
    </row>
    <row r="724">
      <c r="A724" s="178"/>
    </row>
    <row r="725">
      <c r="A725" s="178"/>
    </row>
    <row r="726">
      <c r="A726" s="178"/>
    </row>
    <row r="727">
      <c r="A727" s="178"/>
    </row>
    <row r="728">
      <c r="A728" s="178"/>
    </row>
    <row r="729">
      <c r="A729" s="178"/>
    </row>
    <row r="730">
      <c r="A730" s="178"/>
    </row>
    <row r="731">
      <c r="A731" s="178"/>
    </row>
    <row r="732">
      <c r="A732" s="178"/>
    </row>
    <row r="733">
      <c r="A733" s="178"/>
    </row>
    <row r="734">
      <c r="A734" s="178"/>
    </row>
    <row r="735">
      <c r="A735" s="178"/>
    </row>
    <row r="736">
      <c r="A736" s="178"/>
    </row>
    <row r="737">
      <c r="A737" s="178"/>
    </row>
    <row r="738">
      <c r="A738" s="178"/>
    </row>
    <row r="739">
      <c r="A739" s="178"/>
    </row>
    <row r="740">
      <c r="A740" s="178"/>
    </row>
    <row r="741">
      <c r="A741" s="178"/>
    </row>
    <row r="742">
      <c r="A742" s="178"/>
    </row>
    <row r="743">
      <c r="A743" s="178"/>
    </row>
    <row r="744">
      <c r="A744" s="178"/>
    </row>
    <row r="745">
      <c r="A745" s="178"/>
    </row>
    <row r="746">
      <c r="A746" s="178"/>
    </row>
    <row r="747">
      <c r="A747" s="178"/>
    </row>
    <row r="748">
      <c r="A748" s="178"/>
    </row>
    <row r="749">
      <c r="A749" s="178"/>
    </row>
    <row r="750">
      <c r="A750" s="178"/>
    </row>
    <row r="751">
      <c r="A751" s="178"/>
    </row>
    <row r="752">
      <c r="A752" s="178"/>
    </row>
    <row r="753">
      <c r="A753" s="178"/>
    </row>
    <row r="754">
      <c r="A754" s="178"/>
    </row>
    <row r="755">
      <c r="A755" s="178"/>
    </row>
    <row r="756">
      <c r="A756" s="178"/>
    </row>
    <row r="757">
      <c r="A757" s="178"/>
    </row>
    <row r="758">
      <c r="A758" s="178"/>
    </row>
    <row r="759">
      <c r="A759" s="178"/>
    </row>
    <row r="760">
      <c r="A760" s="178"/>
    </row>
    <row r="761">
      <c r="A761" s="178"/>
    </row>
    <row r="762">
      <c r="A762" s="178"/>
    </row>
    <row r="763">
      <c r="A763" s="178"/>
    </row>
    <row r="764">
      <c r="A764" s="178"/>
    </row>
    <row r="765">
      <c r="A765" s="178"/>
    </row>
    <row r="766">
      <c r="A766" s="178"/>
    </row>
    <row r="767">
      <c r="A767" s="178"/>
    </row>
    <row r="768">
      <c r="A768" s="178"/>
    </row>
    <row r="769">
      <c r="A769" s="178"/>
    </row>
    <row r="770">
      <c r="A770" s="178"/>
    </row>
    <row r="771">
      <c r="A771" s="178"/>
    </row>
    <row r="772">
      <c r="A772" s="178"/>
    </row>
    <row r="773">
      <c r="A773" s="178"/>
    </row>
    <row r="774">
      <c r="A774" s="178"/>
    </row>
    <row r="775">
      <c r="A775" s="178"/>
    </row>
    <row r="776">
      <c r="A776" s="178"/>
    </row>
    <row r="777">
      <c r="A777" s="178"/>
    </row>
    <row r="778">
      <c r="A778" s="178"/>
    </row>
    <row r="779">
      <c r="A779" s="178"/>
    </row>
    <row r="780">
      <c r="A780" s="178"/>
    </row>
    <row r="781">
      <c r="A781" s="178"/>
    </row>
    <row r="782">
      <c r="A782" s="178"/>
    </row>
    <row r="783">
      <c r="A783" s="178"/>
    </row>
    <row r="784">
      <c r="A784" s="178"/>
    </row>
    <row r="785">
      <c r="A785" s="178"/>
    </row>
    <row r="786">
      <c r="A786" s="178"/>
    </row>
    <row r="787">
      <c r="A787" s="178"/>
    </row>
    <row r="788">
      <c r="A788" s="178"/>
    </row>
    <row r="789">
      <c r="A789" s="178"/>
    </row>
    <row r="790">
      <c r="A790" s="178"/>
    </row>
    <row r="791">
      <c r="A791" s="178"/>
    </row>
    <row r="792">
      <c r="A792" s="178"/>
    </row>
    <row r="793">
      <c r="A793" s="178"/>
    </row>
    <row r="794">
      <c r="A794" s="178"/>
    </row>
    <row r="795">
      <c r="A795" s="178"/>
    </row>
    <row r="796">
      <c r="A796" s="178"/>
    </row>
    <row r="797">
      <c r="A797" s="178"/>
    </row>
    <row r="798">
      <c r="A798" s="178"/>
    </row>
    <row r="799">
      <c r="A799" s="178"/>
    </row>
    <row r="800">
      <c r="A800" s="178"/>
    </row>
    <row r="801">
      <c r="A801" s="178"/>
    </row>
    <row r="802">
      <c r="A802" s="178"/>
    </row>
    <row r="803">
      <c r="A803" s="178"/>
    </row>
    <row r="804">
      <c r="A804" s="178"/>
    </row>
    <row r="805">
      <c r="A805" s="178"/>
    </row>
    <row r="806">
      <c r="A806" s="178"/>
    </row>
    <row r="807">
      <c r="A807" s="178"/>
    </row>
    <row r="808">
      <c r="A808" s="178"/>
    </row>
    <row r="809">
      <c r="A809" s="178"/>
    </row>
    <row r="810">
      <c r="A810" s="178"/>
    </row>
    <row r="811">
      <c r="A811" s="178"/>
    </row>
    <row r="812">
      <c r="A812" s="178"/>
    </row>
    <row r="813">
      <c r="A813" s="178"/>
    </row>
    <row r="814">
      <c r="A814" s="178"/>
    </row>
    <row r="815">
      <c r="A815" s="178"/>
    </row>
    <row r="816">
      <c r="A816" s="178"/>
    </row>
    <row r="817">
      <c r="A817" s="178"/>
    </row>
    <row r="818">
      <c r="A818" s="178"/>
    </row>
    <row r="819">
      <c r="A819" s="178"/>
    </row>
    <row r="820">
      <c r="A820" s="178"/>
    </row>
    <row r="821">
      <c r="A821" s="178"/>
    </row>
    <row r="822">
      <c r="A822" s="178"/>
    </row>
    <row r="823">
      <c r="A823" s="178"/>
    </row>
    <row r="824">
      <c r="A824" s="178"/>
    </row>
    <row r="825">
      <c r="A825" s="178"/>
    </row>
    <row r="826">
      <c r="A826" s="178"/>
    </row>
    <row r="827">
      <c r="A827" s="178"/>
    </row>
    <row r="828">
      <c r="A828" s="178"/>
    </row>
    <row r="829">
      <c r="A829" s="178"/>
    </row>
    <row r="830">
      <c r="A830" s="178"/>
    </row>
    <row r="831">
      <c r="A831" s="178"/>
    </row>
    <row r="832">
      <c r="A832" s="178"/>
    </row>
    <row r="833">
      <c r="A833" s="178"/>
    </row>
    <row r="834">
      <c r="A834" s="178"/>
    </row>
    <row r="835">
      <c r="A835" s="178"/>
    </row>
    <row r="836">
      <c r="A836" s="178"/>
    </row>
    <row r="837">
      <c r="A837" s="178"/>
    </row>
    <row r="838">
      <c r="A838" s="178"/>
    </row>
    <row r="839">
      <c r="A839" s="178"/>
    </row>
    <row r="840">
      <c r="A840" s="178"/>
    </row>
    <row r="841">
      <c r="A841" s="178"/>
    </row>
    <row r="842">
      <c r="A842" s="178"/>
    </row>
    <row r="843">
      <c r="A843" s="178"/>
    </row>
    <row r="844">
      <c r="A844" s="178"/>
    </row>
    <row r="845">
      <c r="A845" s="178"/>
    </row>
    <row r="846">
      <c r="A846" s="178"/>
    </row>
    <row r="847">
      <c r="A847" s="178"/>
    </row>
    <row r="848">
      <c r="A848" s="178"/>
    </row>
    <row r="849">
      <c r="A849" s="178"/>
    </row>
    <row r="850">
      <c r="A850" s="178"/>
    </row>
    <row r="851">
      <c r="A851" s="178"/>
    </row>
    <row r="852">
      <c r="A852" s="178"/>
    </row>
    <row r="853">
      <c r="A853" s="178"/>
    </row>
    <row r="854">
      <c r="A854" s="178"/>
    </row>
    <row r="855">
      <c r="A855" s="178"/>
    </row>
    <row r="856">
      <c r="A856" s="178"/>
    </row>
    <row r="857">
      <c r="A857" s="178"/>
    </row>
    <row r="858">
      <c r="A858" s="178"/>
    </row>
    <row r="859">
      <c r="A859" s="178"/>
    </row>
    <row r="860">
      <c r="A860" s="178"/>
    </row>
    <row r="861">
      <c r="A861" s="178"/>
    </row>
    <row r="862">
      <c r="A862" s="178"/>
    </row>
    <row r="863">
      <c r="A863" s="178"/>
    </row>
    <row r="864">
      <c r="A864" s="178"/>
    </row>
    <row r="865">
      <c r="A865" s="178"/>
    </row>
    <row r="866">
      <c r="A866" s="178"/>
    </row>
    <row r="867">
      <c r="A867" s="178"/>
    </row>
    <row r="868">
      <c r="A868" s="178"/>
    </row>
    <row r="869">
      <c r="A869" s="178"/>
    </row>
    <row r="870">
      <c r="A870" s="178"/>
    </row>
    <row r="871">
      <c r="A871" s="178"/>
    </row>
    <row r="872">
      <c r="A872" s="178"/>
    </row>
    <row r="873">
      <c r="A873" s="178"/>
    </row>
    <row r="874">
      <c r="A874" s="178"/>
    </row>
    <row r="875">
      <c r="A875" s="178"/>
    </row>
    <row r="876">
      <c r="A876" s="178"/>
    </row>
    <row r="877">
      <c r="A877" s="178"/>
    </row>
    <row r="878">
      <c r="A878" s="178"/>
    </row>
    <row r="879">
      <c r="A879" s="178"/>
    </row>
    <row r="880">
      <c r="A880" s="178"/>
    </row>
    <row r="881">
      <c r="A881" s="178"/>
    </row>
    <row r="882">
      <c r="A882" s="178"/>
    </row>
    <row r="883">
      <c r="A883" s="178"/>
    </row>
    <row r="884">
      <c r="A884" s="178"/>
    </row>
    <row r="885">
      <c r="A885" s="178"/>
    </row>
    <row r="886">
      <c r="A886" s="178"/>
    </row>
    <row r="887">
      <c r="A887" s="178"/>
    </row>
    <row r="888">
      <c r="A888" s="178"/>
    </row>
    <row r="889">
      <c r="A889" s="178"/>
    </row>
    <row r="890">
      <c r="A890" s="178"/>
    </row>
    <row r="891">
      <c r="A891" s="178"/>
    </row>
    <row r="892">
      <c r="A892" s="178"/>
    </row>
    <row r="893">
      <c r="A893" s="178"/>
    </row>
    <row r="894">
      <c r="A894" s="178"/>
    </row>
    <row r="895">
      <c r="A895" s="178"/>
    </row>
    <row r="896">
      <c r="A896" s="178"/>
    </row>
    <row r="897">
      <c r="A897" s="178"/>
    </row>
    <row r="898">
      <c r="A898" s="178"/>
    </row>
    <row r="899">
      <c r="A899" s="178"/>
    </row>
    <row r="900">
      <c r="A900" s="178"/>
    </row>
    <row r="901">
      <c r="A901" s="178"/>
    </row>
    <row r="902">
      <c r="A902" s="178"/>
    </row>
    <row r="903">
      <c r="A903" s="178"/>
    </row>
    <row r="904">
      <c r="A904" s="178"/>
    </row>
    <row r="905">
      <c r="A905" s="178"/>
    </row>
    <row r="906">
      <c r="A906" s="178"/>
    </row>
    <row r="907">
      <c r="A907" s="178"/>
    </row>
    <row r="908">
      <c r="A908" s="178"/>
    </row>
    <row r="909">
      <c r="A909" s="178"/>
    </row>
    <row r="910">
      <c r="A910" s="178"/>
    </row>
    <row r="911">
      <c r="A911" s="178"/>
    </row>
    <row r="912">
      <c r="A912" s="178"/>
    </row>
    <row r="913">
      <c r="A913" s="178"/>
    </row>
    <row r="914">
      <c r="A914" s="178"/>
    </row>
    <row r="915">
      <c r="A915" s="178"/>
    </row>
    <row r="916">
      <c r="A916" s="178"/>
    </row>
    <row r="917">
      <c r="A917" s="178"/>
    </row>
    <row r="918">
      <c r="A918" s="178"/>
    </row>
    <row r="919">
      <c r="A919" s="178"/>
    </row>
    <row r="920">
      <c r="A920" s="178"/>
    </row>
    <row r="921">
      <c r="A921" s="178"/>
    </row>
    <row r="922">
      <c r="A922" s="178"/>
    </row>
    <row r="923">
      <c r="A923" s="178"/>
    </row>
    <row r="924">
      <c r="A924" s="178"/>
    </row>
    <row r="925">
      <c r="A925" s="178"/>
    </row>
    <row r="926">
      <c r="A926" s="178"/>
    </row>
    <row r="927">
      <c r="A927" s="178"/>
    </row>
    <row r="928">
      <c r="A928" s="178"/>
    </row>
    <row r="929">
      <c r="A929" s="178"/>
    </row>
    <row r="930">
      <c r="A930" s="178"/>
    </row>
    <row r="931">
      <c r="A931" s="178"/>
    </row>
    <row r="932">
      <c r="A932" s="178"/>
    </row>
    <row r="933">
      <c r="A933" s="178"/>
    </row>
    <row r="934">
      <c r="A934" s="178"/>
    </row>
    <row r="935">
      <c r="A935" s="178"/>
    </row>
    <row r="936">
      <c r="A936" s="178"/>
    </row>
    <row r="937">
      <c r="A937" s="178"/>
    </row>
    <row r="938">
      <c r="A938" s="178"/>
    </row>
    <row r="939">
      <c r="A939" s="178"/>
    </row>
    <row r="940">
      <c r="A940" s="178"/>
    </row>
    <row r="941">
      <c r="A941" s="178"/>
    </row>
    <row r="942">
      <c r="A942" s="178"/>
    </row>
    <row r="943">
      <c r="A943" s="178"/>
    </row>
    <row r="944">
      <c r="A944" s="178"/>
    </row>
    <row r="945">
      <c r="A945" s="178"/>
    </row>
    <row r="946">
      <c r="A946" s="178"/>
    </row>
    <row r="947">
      <c r="A947" s="178"/>
    </row>
    <row r="948">
      <c r="A948" s="178"/>
    </row>
    <row r="949">
      <c r="A949" s="178"/>
    </row>
    <row r="950">
      <c r="A950" s="178"/>
    </row>
    <row r="951">
      <c r="A951" s="178"/>
    </row>
    <row r="952">
      <c r="A952" s="178"/>
    </row>
    <row r="953">
      <c r="A953" s="178"/>
    </row>
    <row r="954">
      <c r="A954" s="178"/>
    </row>
    <row r="955">
      <c r="A955" s="178"/>
    </row>
    <row r="956">
      <c r="A956" s="178"/>
    </row>
    <row r="957">
      <c r="A957" s="178"/>
    </row>
    <row r="958">
      <c r="A958" s="178"/>
    </row>
    <row r="959">
      <c r="A959" s="178"/>
    </row>
    <row r="960">
      <c r="A960" s="178"/>
    </row>
    <row r="961">
      <c r="A961" s="178"/>
    </row>
    <row r="962">
      <c r="A962" s="178"/>
    </row>
    <row r="963">
      <c r="A963" s="178"/>
    </row>
    <row r="964">
      <c r="A964" s="178"/>
    </row>
    <row r="965">
      <c r="A965" s="178"/>
    </row>
    <row r="966">
      <c r="A966" s="178"/>
    </row>
    <row r="967">
      <c r="A967" s="178"/>
    </row>
    <row r="968">
      <c r="A968" s="178"/>
    </row>
    <row r="969">
      <c r="A969" s="178"/>
    </row>
    <row r="970">
      <c r="A970" s="178"/>
    </row>
    <row r="971">
      <c r="A971" s="178"/>
    </row>
    <row r="972">
      <c r="A972" s="178"/>
    </row>
    <row r="973">
      <c r="A973" s="178"/>
    </row>
    <row r="974">
      <c r="A974" s="178"/>
    </row>
    <row r="975">
      <c r="A975" s="178"/>
    </row>
    <row r="976">
      <c r="A976" s="178"/>
    </row>
    <row r="977">
      <c r="A977" s="178"/>
    </row>
    <row r="978">
      <c r="A978" s="178"/>
    </row>
    <row r="979">
      <c r="A979" s="178"/>
    </row>
    <row r="980">
      <c r="A980" s="178"/>
    </row>
    <row r="981">
      <c r="A981" s="178"/>
    </row>
    <row r="982">
      <c r="A982" s="178"/>
    </row>
    <row r="983">
      <c r="A983" s="178"/>
    </row>
    <row r="984">
      <c r="A984" s="178"/>
    </row>
    <row r="985">
      <c r="A985" s="178"/>
    </row>
    <row r="986">
      <c r="A986" s="178"/>
    </row>
    <row r="987">
      <c r="A987" s="178"/>
    </row>
    <row r="988">
      <c r="A988" s="178"/>
    </row>
    <row r="989">
      <c r="A989" s="178"/>
    </row>
    <row r="990">
      <c r="A990" s="178"/>
    </row>
    <row r="991">
      <c r="A991" s="178"/>
    </row>
    <row r="992">
      <c r="A992" s="178"/>
    </row>
    <row r="993">
      <c r="A993" s="178"/>
    </row>
    <row r="994">
      <c r="A994" s="178"/>
    </row>
    <row r="995">
      <c r="A995" s="178"/>
    </row>
    <row r="996">
      <c r="A996" s="178"/>
    </row>
    <row r="997">
      <c r="A997" s="178"/>
    </row>
    <row r="998">
      <c r="A998" s="178"/>
    </row>
    <row r="999">
      <c r="A999" s="178"/>
    </row>
    <row r="1000">
      <c r="A1000" s="178"/>
    </row>
  </sheetData>
  <mergeCells count="137">
    <mergeCell ref="A1:O1"/>
    <mergeCell ref="A2:C2"/>
    <mergeCell ref="D2:O2"/>
    <mergeCell ref="A3:C3"/>
    <mergeCell ref="D3:G3"/>
    <mergeCell ref="H3:K3"/>
    <mergeCell ref="L3:O3"/>
    <mergeCell ref="A4:C4"/>
    <mergeCell ref="A5:C5"/>
    <mergeCell ref="A6:A7"/>
    <mergeCell ref="A8:A9"/>
    <mergeCell ref="A10:A11"/>
    <mergeCell ref="A12:A13"/>
    <mergeCell ref="A15:O15"/>
    <mergeCell ref="A16:C16"/>
    <mergeCell ref="A17:C17"/>
    <mergeCell ref="A18:C18"/>
    <mergeCell ref="A19:C19"/>
    <mergeCell ref="A21:C21"/>
    <mergeCell ref="F21:G21"/>
    <mergeCell ref="J21:L21"/>
    <mergeCell ref="A26:C27"/>
    <mergeCell ref="E26:H27"/>
    <mergeCell ref="J26:L27"/>
    <mergeCell ref="G29:H29"/>
    <mergeCell ref="I29:J29"/>
    <mergeCell ref="G30:H30"/>
    <mergeCell ref="I30:J30"/>
    <mergeCell ref="G31:H31"/>
    <mergeCell ref="I31:J31"/>
    <mergeCell ref="A34:O34"/>
    <mergeCell ref="E36:F37"/>
    <mergeCell ref="G36:K36"/>
    <mergeCell ref="G37:K37"/>
    <mergeCell ref="A43:O43"/>
    <mergeCell ref="E45:F46"/>
    <mergeCell ref="G45:K45"/>
    <mergeCell ref="G46:K46"/>
    <mergeCell ref="E48:F49"/>
    <mergeCell ref="G48:K49"/>
    <mergeCell ref="E52:F54"/>
    <mergeCell ref="G52:K52"/>
    <mergeCell ref="G53:K53"/>
    <mergeCell ref="G54:K54"/>
    <mergeCell ref="A57:Q57"/>
    <mergeCell ref="C58:F58"/>
    <mergeCell ref="G58:J58"/>
    <mergeCell ref="K58:N58"/>
    <mergeCell ref="A59:B59"/>
    <mergeCell ref="A91:B91"/>
    <mergeCell ref="A92:B92"/>
    <mergeCell ref="A93:B93"/>
    <mergeCell ref="A94:B94"/>
    <mergeCell ref="A95:B95"/>
    <mergeCell ref="A96:B96"/>
    <mergeCell ref="A97:B97"/>
    <mergeCell ref="A102:B102"/>
    <mergeCell ref="A103:B103"/>
    <mergeCell ref="A104:B104"/>
    <mergeCell ref="A105:B105"/>
    <mergeCell ref="A106:B106"/>
    <mergeCell ref="A107:B107"/>
    <mergeCell ref="A108:B108"/>
    <mergeCell ref="A118:B118"/>
    <mergeCell ref="A119:B119"/>
    <mergeCell ref="B125:B126"/>
    <mergeCell ref="A109:B109"/>
    <mergeCell ref="A112:B112"/>
    <mergeCell ref="A113:B113"/>
    <mergeCell ref="A114:B114"/>
    <mergeCell ref="A115:B115"/>
    <mergeCell ref="A116:B116"/>
    <mergeCell ref="A117:B117"/>
    <mergeCell ref="A86:B86"/>
    <mergeCell ref="A87:B87"/>
    <mergeCell ref="B88:C88"/>
    <mergeCell ref="A89:Q89"/>
    <mergeCell ref="C90:F90"/>
    <mergeCell ref="G90:J90"/>
    <mergeCell ref="K90:N90"/>
    <mergeCell ref="A98:B98"/>
    <mergeCell ref="B99:C99"/>
    <mergeCell ref="L99:N99"/>
    <mergeCell ref="A100:Q100"/>
    <mergeCell ref="C101:F101"/>
    <mergeCell ref="G101:J101"/>
    <mergeCell ref="K101:N101"/>
    <mergeCell ref="A60:B60"/>
    <mergeCell ref="A61:B61"/>
    <mergeCell ref="A62:B62"/>
    <mergeCell ref="A63:B63"/>
    <mergeCell ref="A64:B64"/>
    <mergeCell ref="O64:P64"/>
    <mergeCell ref="A65:B65"/>
    <mergeCell ref="A66:B66"/>
    <mergeCell ref="A68:Q68"/>
    <mergeCell ref="C69:F69"/>
    <mergeCell ref="G69:J69"/>
    <mergeCell ref="K69:N69"/>
    <mergeCell ref="A70:B70"/>
    <mergeCell ref="A71:B71"/>
    <mergeCell ref="A72:B72"/>
    <mergeCell ref="A73:B73"/>
    <mergeCell ref="A74:B74"/>
    <mergeCell ref="A75:B75"/>
    <mergeCell ref="O75:P75"/>
    <mergeCell ref="A76:B76"/>
    <mergeCell ref="A79:Q79"/>
    <mergeCell ref="A77:B77"/>
    <mergeCell ref="A80:B80"/>
    <mergeCell ref="A81:B81"/>
    <mergeCell ref="A82:B82"/>
    <mergeCell ref="A83:B83"/>
    <mergeCell ref="A84:B84"/>
    <mergeCell ref="A85:B85"/>
    <mergeCell ref="O107:P107"/>
    <mergeCell ref="O117:P117"/>
    <mergeCell ref="O118:P118"/>
    <mergeCell ref="O119:P119"/>
    <mergeCell ref="O85:P85"/>
    <mergeCell ref="O86:P86"/>
    <mergeCell ref="O87:P87"/>
    <mergeCell ref="O94:P94"/>
    <mergeCell ref="O95:P95"/>
    <mergeCell ref="O96:P96"/>
    <mergeCell ref="O106:P106"/>
    <mergeCell ref="N123:P123"/>
    <mergeCell ref="N124:P124"/>
    <mergeCell ref="N125:P125"/>
    <mergeCell ref="N126:P126"/>
    <mergeCell ref="A111:Q111"/>
    <mergeCell ref="B122:P122"/>
    <mergeCell ref="B123:C123"/>
    <mergeCell ref="D123:F123"/>
    <mergeCell ref="G123:I123"/>
    <mergeCell ref="J123:M123"/>
    <mergeCell ref="B124:C124"/>
  </mergeCells>
  <printOptions horizontalCentered="1" verticalCentered="1"/>
  <pageMargins bottom="0.75" footer="0.0" header="0.0" left="0.7" right="0.7" top="0.75"/>
  <pageSetup fitToHeight="0" paperSize="8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0" t="s">
        <v>21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2"/>
      <c r="R1" s="35"/>
    </row>
    <row r="2">
      <c r="A2" s="253" t="s">
        <v>113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5"/>
      <c r="R2" s="35"/>
    </row>
    <row r="3">
      <c r="A3" s="256" t="s">
        <v>114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8"/>
      <c r="R3" s="35"/>
    </row>
    <row r="4">
      <c r="A4" s="259" t="s">
        <v>115</v>
      </c>
      <c r="B4" s="260"/>
      <c r="C4" s="261" t="s">
        <v>116</v>
      </c>
      <c r="D4" s="262" t="s">
        <v>117</v>
      </c>
      <c r="E4" s="263" t="s">
        <v>118</v>
      </c>
      <c r="F4" s="264" t="s">
        <v>119</v>
      </c>
      <c r="G4" s="265"/>
      <c r="H4" s="266"/>
      <c r="I4" s="265"/>
      <c r="J4" s="265"/>
      <c r="K4" s="266"/>
      <c r="N4" s="267" t="s">
        <v>116</v>
      </c>
      <c r="O4" s="266"/>
      <c r="P4" s="268" t="s">
        <v>120</v>
      </c>
      <c r="Q4" s="269" t="s">
        <v>121</v>
      </c>
      <c r="R4" s="35"/>
    </row>
    <row r="5">
      <c r="A5" s="270">
        <v>1.0</v>
      </c>
      <c r="B5" s="271" t="s">
        <v>122</v>
      </c>
      <c r="C5" s="271" t="s">
        <v>123</v>
      </c>
      <c r="D5" s="272">
        <v>40.0</v>
      </c>
      <c r="E5" s="272">
        <v>5.0</v>
      </c>
      <c r="F5" s="273">
        <v>1240.1</v>
      </c>
      <c r="G5" s="266"/>
      <c r="H5" s="266"/>
      <c r="I5" s="266"/>
      <c r="J5" s="266"/>
      <c r="K5" s="266"/>
      <c r="L5" s="266"/>
      <c r="M5" s="266"/>
      <c r="N5" s="274" t="s">
        <v>123</v>
      </c>
      <c r="O5" s="275">
        <v>1.0</v>
      </c>
      <c r="P5" s="276">
        <v>6.5</v>
      </c>
      <c r="Q5" s="277">
        <f t="shared" ref="Q5:Q14" si="1">(P18*F18)/60</f>
        <v>12.5</v>
      </c>
      <c r="R5" s="278" t="s">
        <v>124</v>
      </c>
    </row>
    <row r="6">
      <c r="A6" s="270">
        <v>2.0</v>
      </c>
      <c r="B6" s="271" t="s">
        <v>125</v>
      </c>
      <c r="C6" s="271" t="s">
        <v>123</v>
      </c>
      <c r="D6" s="272">
        <v>40.0</v>
      </c>
      <c r="E6" s="272">
        <v>5.0</v>
      </c>
      <c r="F6" s="273">
        <v>1240.1</v>
      </c>
      <c r="G6" s="266"/>
      <c r="H6" s="266"/>
      <c r="I6" s="266"/>
      <c r="J6" s="266"/>
      <c r="K6" s="266"/>
      <c r="L6" s="266"/>
      <c r="M6" s="266"/>
      <c r="N6" s="274" t="s">
        <v>123</v>
      </c>
      <c r="O6" s="275">
        <v>2.0</v>
      </c>
      <c r="P6" s="276">
        <v>6.5</v>
      </c>
      <c r="Q6" s="277">
        <f t="shared" si="1"/>
        <v>12.5</v>
      </c>
      <c r="R6" s="278" t="s">
        <v>124</v>
      </c>
    </row>
    <row r="7">
      <c r="A7" s="270">
        <v>3.0</v>
      </c>
      <c r="B7" s="271" t="s">
        <v>126</v>
      </c>
      <c r="C7" s="271" t="s">
        <v>127</v>
      </c>
      <c r="D7" s="272">
        <v>16.0</v>
      </c>
      <c r="E7" s="272">
        <v>5.0</v>
      </c>
      <c r="F7" s="273">
        <v>1240.1</v>
      </c>
      <c r="G7" s="266"/>
      <c r="H7" s="266"/>
      <c r="I7" s="266"/>
      <c r="J7" s="266"/>
      <c r="K7" s="266"/>
      <c r="M7" s="266"/>
      <c r="N7" s="274" t="s">
        <v>127</v>
      </c>
      <c r="O7" s="275">
        <v>3.0</v>
      </c>
      <c r="P7" s="276">
        <v>6.5</v>
      </c>
      <c r="Q7" s="277">
        <f t="shared" si="1"/>
        <v>24.5</v>
      </c>
      <c r="R7" s="278" t="s">
        <v>128</v>
      </c>
    </row>
    <row r="8">
      <c r="A8" s="270">
        <v>4.0</v>
      </c>
      <c r="B8" s="271" t="s">
        <v>129</v>
      </c>
      <c r="C8" s="271" t="s">
        <v>127</v>
      </c>
      <c r="D8" s="272">
        <v>16.0</v>
      </c>
      <c r="E8" s="272">
        <v>5.0</v>
      </c>
      <c r="F8" s="273">
        <v>1240.1</v>
      </c>
      <c r="G8" s="266"/>
      <c r="H8" s="266"/>
      <c r="I8" s="266"/>
      <c r="J8" s="266"/>
      <c r="K8" s="266"/>
      <c r="M8" s="266"/>
      <c r="N8" s="274" t="s">
        <v>127</v>
      </c>
      <c r="O8" s="275">
        <v>4.0</v>
      </c>
      <c r="P8" s="276">
        <v>6.5</v>
      </c>
      <c r="Q8" s="277">
        <f t="shared" si="1"/>
        <v>24.5</v>
      </c>
      <c r="R8" s="278" t="s">
        <v>128</v>
      </c>
    </row>
    <row r="9">
      <c r="A9" s="270">
        <v>5.0</v>
      </c>
      <c r="B9" s="271" t="s">
        <v>130</v>
      </c>
      <c r="C9" s="271" t="s">
        <v>123</v>
      </c>
      <c r="D9" s="272">
        <v>30.0</v>
      </c>
      <c r="E9" s="272">
        <v>5.0</v>
      </c>
      <c r="F9" s="273">
        <v>1240.1</v>
      </c>
      <c r="G9" s="265"/>
      <c r="H9" s="266"/>
      <c r="I9" s="266"/>
      <c r="J9" s="266"/>
      <c r="K9" s="265"/>
      <c r="L9" s="265"/>
      <c r="M9" s="266"/>
      <c r="N9" s="274" t="s">
        <v>123</v>
      </c>
      <c r="O9" s="275">
        <v>5.0</v>
      </c>
      <c r="P9" s="276">
        <v>6.5</v>
      </c>
      <c r="Q9" s="277">
        <f t="shared" si="1"/>
        <v>17.5</v>
      </c>
      <c r="R9" s="278" t="s">
        <v>131</v>
      </c>
    </row>
    <row r="10">
      <c r="A10" s="270">
        <v>6.0</v>
      </c>
      <c r="B10" s="271" t="s">
        <v>132</v>
      </c>
      <c r="C10" s="271" t="s">
        <v>127</v>
      </c>
      <c r="D10" s="272">
        <v>16.0</v>
      </c>
      <c r="E10" s="272">
        <v>5.0</v>
      </c>
      <c r="F10" s="273">
        <v>1240.1</v>
      </c>
      <c r="G10" s="266"/>
      <c r="H10" s="266"/>
      <c r="I10" s="266"/>
      <c r="J10" s="266"/>
      <c r="K10" s="266"/>
      <c r="L10" s="265"/>
      <c r="M10" s="266"/>
      <c r="N10" s="274" t="s">
        <v>127</v>
      </c>
      <c r="O10" s="275">
        <v>6.0</v>
      </c>
      <c r="P10" s="276">
        <v>6.5</v>
      </c>
      <c r="Q10" s="277">
        <f t="shared" si="1"/>
        <v>24.5</v>
      </c>
      <c r="R10" s="278" t="s">
        <v>124</v>
      </c>
    </row>
    <row r="11">
      <c r="A11" s="270">
        <v>7.0</v>
      </c>
      <c r="B11" s="271" t="s">
        <v>133</v>
      </c>
      <c r="C11" s="271" t="s">
        <v>134</v>
      </c>
      <c r="D11" s="272">
        <v>60.0</v>
      </c>
      <c r="E11" s="272">
        <v>5.0</v>
      </c>
      <c r="F11" s="273">
        <v>1240.1</v>
      </c>
      <c r="G11" s="266"/>
      <c r="H11" s="266"/>
      <c r="I11" s="266"/>
      <c r="J11" s="266"/>
      <c r="K11" s="266"/>
      <c r="L11" s="265"/>
      <c r="M11" s="266"/>
      <c r="N11" s="279" t="s">
        <v>134</v>
      </c>
      <c r="O11" s="275">
        <v>7.0</v>
      </c>
      <c r="P11" s="276">
        <v>6.5</v>
      </c>
      <c r="Q11" s="277">
        <f t="shared" si="1"/>
        <v>2.5</v>
      </c>
      <c r="R11" s="278" t="s">
        <v>135</v>
      </c>
    </row>
    <row r="12">
      <c r="A12" s="270">
        <v>8.0</v>
      </c>
      <c r="B12" s="271" t="s">
        <v>136</v>
      </c>
      <c r="C12" s="271" t="s">
        <v>127</v>
      </c>
      <c r="D12" s="272">
        <v>16.0</v>
      </c>
      <c r="E12" s="272">
        <v>5.0</v>
      </c>
      <c r="F12" s="273">
        <v>1240.1</v>
      </c>
      <c r="G12" s="266"/>
      <c r="H12" s="266"/>
      <c r="I12" s="266"/>
      <c r="J12" s="266"/>
      <c r="K12" s="266"/>
      <c r="L12" s="265"/>
      <c r="M12" s="266"/>
      <c r="N12" s="274" t="s">
        <v>127</v>
      </c>
      <c r="O12" s="275">
        <v>8.0</v>
      </c>
      <c r="P12" s="276">
        <v>6.5</v>
      </c>
      <c r="Q12" s="277">
        <f t="shared" si="1"/>
        <v>24.5</v>
      </c>
      <c r="R12" s="278" t="s">
        <v>128</v>
      </c>
    </row>
    <row r="13">
      <c r="A13" s="270">
        <v>9.0</v>
      </c>
      <c r="B13" s="271" t="s">
        <v>137</v>
      </c>
      <c r="C13" s="271" t="s">
        <v>127</v>
      </c>
      <c r="D13" s="272">
        <v>16.0</v>
      </c>
      <c r="E13" s="272">
        <v>5.0</v>
      </c>
      <c r="F13" s="273">
        <v>1240.1</v>
      </c>
      <c r="G13" s="266"/>
      <c r="H13" s="266"/>
      <c r="I13" s="266"/>
      <c r="J13" s="266"/>
      <c r="K13" s="266"/>
      <c r="L13" s="265"/>
      <c r="M13" s="266"/>
      <c r="N13" s="274" t="s">
        <v>127</v>
      </c>
      <c r="O13" s="275">
        <v>9.0</v>
      </c>
      <c r="P13" s="276">
        <v>6.5</v>
      </c>
      <c r="Q13" s="277">
        <f t="shared" si="1"/>
        <v>24.5</v>
      </c>
      <c r="R13" s="278" t="s">
        <v>128</v>
      </c>
    </row>
    <row r="14">
      <c r="A14" s="270">
        <v>10.0</v>
      </c>
      <c r="B14" s="271" t="s">
        <v>138</v>
      </c>
      <c r="C14" s="271" t="s">
        <v>123</v>
      </c>
      <c r="D14" s="272">
        <v>30.0</v>
      </c>
      <c r="E14" s="272">
        <v>5.0</v>
      </c>
      <c r="F14" s="273">
        <v>1240.1</v>
      </c>
      <c r="G14" s="265"/>
      <c r="H14" s="266"/>
      <c r="I14" s="266"/>
      <c r="J14" s="266"/>
      <c r="K14" s="265"/>
      <c r="L14" s="265"/>
      <c r="M14" s="266"/>
      <c r="N14" s="274" t="s">
        <v>123</v>
      </c>
      <c r="O14" s="275">
        <v>10.0</v>
      </c>
      <c r="P14" s="276">
        <v>6.5</v>
      </c>
      <c r="Q14" s="277">
        <f t="shared" si="1"/>
        <v>17.5</v>
      </c>
      <c r="R14" s="278" t="s">
        <v>131</v>
      </c>
    </row>
    <row r="15">
      <c r="A15" s="280" t="s">
        <v>139</v>
      </c>
      <c r="Q15" s="281"/>
      <c r="R15" s="35"/>
    </row>
    <row r="16">
      <c r="A16" s="282" t="s">
        <v>140</v>
      </c>
      <c r="B16" s="283"/>
      <c r="C16" s="283"/>
      <c r="D16" s="283"/>
      <c r="E16" s="283"/>
      <c r="F16" s="283"/>
      <c r="G16" s="283"/>
      <c r="H16" s="283"/>
      <c r="I16" s="283"/>
      <c r="J16" s="93"/>
      <c r="K16" s="284" t="s">
        <v>141</v>
      </c>
      <c r="L16" s="3"/>
      <c r="M16" s="3"/>
      <c r="N16" s="3"/>
      <c r="O16" s="3"/>
      <c r="P16" s="3"/>
      <c r="Q16" s="4"/>
      <c r="R16" s="35"/>
    </row>
    <row r="17">
      <c r="A17" s="285" t="s">
        <v>115</v>
      </c>
      <c r="B17" s="4"/>
      <c r="C17" s="267" t="s">
        <v>116</v>
      </c>
      <c r="D17" s="267" t="s">
        <v>142</v>
      </c>
      <c r="E17" s="267" t="s">
        <v>143</v>
      </c>
      <c r="F17" s="286" t="s">
        <v>144</v>
      </c>
      <c r="G17" s="286" t="s">
        <v>145</v>
      </c>
      <c r="H17" s="287" t="s">
        <v>146</v>
      </c>
      <c r="I17" s="287" t="s">
        <v>147</v>
      </c>
      <c r="J17" s="287" t="s">
        <v>148</v>
      </c>
      <c r="K17" s="288" t="s">
        <v>149</v>
      </c>
      <c r="L17" s="289" t="s">
        <v>150</v>
      </c>
      <c r="M17" s="286" t="s">
        <v>151</v>
      </c>
      <c r="N17" s="287" t="s">
        <v>152</v>
      </c>
      <c r="O17" s="290" t="s">
        <v>153</v>
      </c>
      <c r="P17" s="291" t="s">
        <v>154</v>
      </c>
      <c r="Q17" s="292" t="s">
        <v>155</v>
      </c>
      <c r="R17" s="35"/>
    </row>
    <row r="18">
      <c r="A18" s="293">
        <v>1.0</v>
      </c>
      <c r="B18" s="274" t="s">
        <v>122</v>
      </c>
      <c r="C18" s="274" t="s">
        <v>123</v>
      </c>
      <c r="D18" s="294">
        <f t="shared" ref="D18:D27" si="2">D5+E5</f>
        <v>45</v>
      </c>
      <c r="E18" s="294">
        <f t="shared" ref="E18:E27" si="3">MAX(D$17:D$26)</f>
        <v>65</v>
      </c>
      <c r="F18" s="295">
        <f t="shared" ref="F18:F27" si="4">MAX(D$5:D$14)+E5-D5</f>
        <v>25</v>
      </c>
      <c r="G18" s="296">
        <f t="shared" ref="G18:G27" si="5">(F18*F5)/60</f>
        <v>516.7083333</v>
      </c>
      <c r="H18" s="297">
        <f t="shared" ref="H18:H27" si="6">(E18*F5)/60</f>
        <v>1343.441667</v>
      </c>
      <c r="I18" s="297">
        <f>P5*60</f>
        <v>390</v>
      </c>
      <c r="J18" s="298">
        <f t="shared" ref="J18:J27" si="7">ROUNDUP(H18/I18,0)</f>
        <v>4</v>
      </c>
      <c r="K18" s="299">
        <f t="shared" ref="K18:K27" si="8">ROUNDUP(F5/J18,0)</f>
        <v>311</v>
      </c>
      <c r="L18" s="295">
        <f t="shared" ref="L18:L27" si="9">ROUNDUP((F18*K18)/60,0)</f>
        <v>130</v>
      </c>
      <c r="M18" s="295">
        <f t="shared" ref="M18:M27" si="10">ROUNDUP((E18*K18)/60,0)</f>
        <v>337</v>
      </c>
      <c r="N18" s="300">
        <f t="shared" ref="N18:N27" si="11">M18-L18</f>
        <v>207</v>
      </c>
      <c r="O18" s="301">
        <f t="shared" ref="O18:O27" si="12">(N18/M18)</f>
        <v>0.6142433234</v>
      </c>
      <c r="P18" s="296">
        <v>30.0</v>
      </c>
      <c r="Q18" s="302">
        <f t="shared" ref="Q18:Q27" si="13">(P18*D18)/60</f>
        <v>22.5</v>
      </c>
      <c r="R18" s="35"/>
    </row>
    <row r="19">
      <c r="A19" s="293">
        <v>2.0</v>
      </c>
      <c r="B19" s="274" t="s">
        <v>125</v>
      </c>
      <c r="C19" s="274" t="s">
        <v>123</v>
      </c>
      <c r="D19" s="294">
        <f t="shared" si="2"/>
        <v>45</v>
      </c>
      <c r="E19" s="294">
        <f t="shared" si="3"/>
        <v>65</v>
      </c>
      <c r="F19" s="295">
        <f t="shared" si="4"/>
        <v>25</v>
      </c>
      <c r="G19" s="296">
        <f t="shared" si="5"/>
        <v>516.7083333</v>
      </c>
      <c r="H19" s="297">
        <f t="shared" si="6"/>
        <v>1343.441667</v>
      </c>
      <c r="I19" s="297">
        <f t="shared" ref="I19:I27" si="14">P$5*60</f>
        <v>390</v>
      </c>
      <c r="J19" s="298">
        <f t="shared" si="7"/>
        <v>4</v>
      </c>
      <c r="K19" s="299">
        <f t="shared" si="8"/>
        <v>311</v>
      </c>
      <c r="L19" s="295">
        <f t="shared" si="9"/>
        <v>130</v>
      </c>
      <c r="M19" s="295">
        <f t="shared" si="10"/>
        <v>337</v>
      </c>
      <c r="N19" s="300">
        <f t="shared" si="11"/>
        <v>207</v>
      </c>
      <c r="O19" s="301">
        <f t="shared" si="12"/>
        <v>0.6142433234</v>
      </c>
      <c r="P19" s="296">
        <v>30.0</v>
      </c>
      <c r="Q19" s="302">
        <f t="shared" si="13"/>
        <v>22.5</v>
      </c>
      <c r="R19" s="35"/>
    </row>
    <row r="20">
      <c r="A20" s="293">
        <v>3.0</v>
      </c>
      <c r="B20" s="274" t="s">
        <v>126</v>
      </c>
      <c r="C20" s="274" t="s">
        <v>127</v>
      </c>
      <c r="D20" s="294">
        <f t="shared" si="2"/>
        <v>21</v>
      </c>
      <c r="E20" s="294">
        <f t="shared" si="3"/>
        <v>65</v>
      </c>
      <c r="F20" s="295">
        <f t="shared" si="4"/>
        <v>49</v>
      </c>
      <c r="G20" s="296">
        <f t="shared" si="5"/>
        <v>1012.748333</v>
      </c>
      <c r="H20" s="297">
        <f t="shared" si="6"/>
        <v>1343.441667</v>
      </c>
      <c r="I20" s="297">
        <f t="shared" si="14"/>
        <v>390</v>
      </c>
      <c r="J20" s="298">
        <f t="shared" si="7"/>
        <v>4</v>
      </c>
      <c r="K20" s="299">
        <f t="shared" si="8"/>
        <v>311</v>
      </c>
      <c r="L20" s="295">
        <f t="shared" si="9"/>
        <v>254</v>
      </c>
      <c r="M20" s="295">
        <f t="shared" si="10"/>
        <v>337</v>
      </c>
      <c r="N20" s="300">
        <f t="shared" si="11"/>
        <v>83</v>
      </c>
      <c r="O20" s="301">
        <f t="shared" si="12"/>
        <v>0.2462908012</v>
      </c>
      <c r="P20" s="296">
        <v>30.0</v>
      </c>
      <c r="Q20" s="302">
        <f t="shared" si="13"/>
        <v>10.5</v>
      </c>
      <c r="R20" s="35"/>
    </row>
    <row r="21">
      <c r="A21" s="293">
        <v>4.0</v>
      </c>
      <c r="B21" s="274" t="s">
        <v>129</v>
      </c>
      <c r="C21" s="274" t="s">
        <v>127</v>
      </c>
      <c r="D21" s="294">
        <f t="shared" si="2"/>
        <v>21</v>
      </c>
      <c r="E21" s="294">
        <f t="shared" si="3"/>
        <v>65</v>
      </c>
      <c r="F21" s="295">
        <f t="shared" si="4"/>
        <v>49</v>
      </c>
      <c r="G21" s="296">
        <f t="shared" si="5"/>
        <v>1012.748333</v>
      </c>
      <c r="H21" s="297">
        <f t="shared" si="6"/>
        <v>1343.441667</v>
      </c>
      <c r="I21" s="297">
        <f t="shared" si="14"/>
        <v>390</v>
      </c>
      <c r="J21" s="298">
        <f t="shared" si="7"/>
        <v>4</v>
      </c>
      <c r="K21" s="299">
        <f t="shared" si="8"/>
        <v>311</v>
      </c>
      <c r="L21" s="295">
        <f t="shared" si="9"/>
        <v>254</v>
      </c>
      <c r="M21" s="295">
        <f t="shared" si="10"/>
        <v>337</v>
      </c>
      <c r="N21" s="300">
        <f t="shared" si="11"/>
        <v>83</v>
      </c>
      <c r="O21" s="301">
        <f t="shared" si="12"/>
        <v>0.2462908012</v>
      </c>
      <c r="P21" s="296">
        <v>30.0</v>
      </c>
      <c r="Q21" s="302">
        <f t="shared" si="13"/>
        <v>10.5</v>
      </c>
      <c r="R21" s="35"/>
    </row>
    <row r="22">
      <c r="A22" s="293">
        <v>5.0</v>
      </c>
      <c r="B22" s="274" t="s">
        <v>130</v>
      </c>
      <c r="C22" s="274" t="s">
        <v>123</v>
      </c>
      <c r="D22" s="294">
        <f t="shared" si="2"/>
        <v>35</v>
      </c>
      <c r="E22" s="294">
        <f t="shared" si="3"/>
        <v>65</v>
      </c>
      <c r="F22" s="295">
        <f t="shared" si="4"/>
        <v>35</v>
      </c>
      <c r="G22" s="296">
        <f t="shared" si="5"/>
        <v>723.3916667</v>
      </c>
      <c r="H22" s="297">
        <f t="shared" si="6"/>
        <v>1343.441667</v>
      </c>
      <c r="I22" s="297">
        <f t="shared" si="14"/>
        <v>390</v>
      </c>
      <c r="J22" s="298">
        <f t="shared" si="7"/>
        <v>4</v>
      </c>
      <c r="K22" s="299">
        <f t="shared" si="8"/>
        <v>311</v>
      </c>
      <c r="L22" s="295">
        <f t="shared" si="9"/>
        <v>182</v>
      </c>
      <c r="M22" s="295">
        <f t="shared" si="10"/>
        <v>337</v>
      </c>
      <c r="N22" s="300">
        <f t="shared" si="11"/>
        <v>155</v>
      </c>
      <c r="O22" s="301">
        <f t="shared" si="12"/>
        <v>0.4599406528</v>
      </c>
      <c r="P22" s="296">
        <v>30.0</v>
      </c>
      <c r="Q22" s="302">
        <f t="shared" si="13"/>
        <v>17.5</v>
      </c>
      <c r="R22" s="35"/>
    </row>
    <row r="23">
      <c r="A23" s="293">
        <v>6.0</v>
      </c>
      <c r="B23" s="274" t="s">
        <v>132</v>
      </c>
      <c r="C23" s="274" t="s">
        <v>127</v>
      </c>
      <c r="D23" s="294">
        <f t="shared" si="2"/>
        <v>21</v>
      </c>
      <c r="E23" s="294">
        <f t="shared" si="3"/>
        <v>65</v>
      </c>
      <c r="F23" s="295">
        <f t="shared" si="4"/>
        <v>49</v>
      </c>
      <c r="G23" s="296">
        <f t="shared" si="5"/>
        <v>1012.748333</v>
      </c>
      <c r="H23" s="297">
        <f t="shared" si="6"/>
        <v>1343.441667</v>
      </c>
      <c r="I23" s="297">
        <f t="shared" si="14"/>
        <v>390</v>
      </c>
      <c r="J23" s="298">
        <f t="shared" si="7"/>
        <v>4</v>
      </c>
      <c r="K23" s="299">
        <f t="shared" si="8"/>
        <v>311</v>
      </c>
      <c r="L23" s="295">
        <f t="shared" si="9"/>
        <v>254</v>
      </c>
      <c r="M23" s="295">
        <f t="shared" si="10"/>
        <v>337</v>
      </c>
      <c r="N23" s="300">
        <f t="shared" si="11"/>
        <v>83</v>
      </c>
      <c r="O23" s="301">
        <f t="shared" si="12"/>
        <v>0.2462908012</v>
      </c>
      <c r="P23" s="296">
        <v>30.0</v>
      </c>
      <c r="Q23" s="302">
        <f t="shared" si="13"/>
        <v>10.5</v>
      </c>
      <c r="R23" s="35"/>
    </row>
    <row r="24">
      <c r="A24" s="293">
        <v>7.0</v>
      </c>
      <c r="B24" s="274" t="s">
        <v>133</v>
      </c>
      <c r="C24" s="279" t="s">
        <v>134</v>
      </c>
      <c r="D24" s="294">
        <f t="shared" si="2"/>
        <v>65</v>
      </c>
      <c r="E24" s="294">
        <f t="shared" si="3"/>
        <v>65</v>
      </c>
      <c r="F24" s="295">
        <f t="shared" si="4"/>
        <v>5</v>
      </c>
      <c r="G24" s="296">
        <f t="shared" si="5"/>
        <v>103.3416667</v>
      </c>
      <c r="H24" s="297">
        <f t="shared" si="6"/>
        <v>1343.441667</v>
      </c>
      <c r="I24" s="297">
        <f t="shared" si="14"/>
        <v>390</v>
      </c>
      <c r="J24" s="298">
        <f t="shared" si="7"/>
        <v>4</v>
      </c>
      <c r="K24" s="299">
        <f t="shared" si="8"/>
        <v>311</v>
      </c>
      <c r="L24" s="295">
        <f t="shared" si="9"/>
        <v>26</v>
      </c>
      <c r="M24" s="295">
        <f t="shared" si="10"/>
        <v>337</v>
      </c>
      <c r="N24" s="300">
        <f t="shared" si="11"/>
        <v>311</v>
      </c>
      <c r="O24" s="301">
        <f t="shared" si="12"/>
        <v>0.9228486647</v>
      </c>
      <c r="P24" s="296">
        <v>30.0</v>
      </c>
      <c r="Q24" s="302">
        <f t="shared" si="13"/>
        <v>32.5</v>
      </c>
      <c r="R24" s="35"/>
    </row>
    <row r="25">
      <c r="A25" s="293">
        <v>8.0</v>
      </c>
      <c r="B25" s="274" t="s">
        <v>136</v>
      </c>
      <c r="C25" s="274" t="s">
        <v>127</v>
      </c>
      <c r="D25" s="294">
        <f t="shared" si="2"/>
        <v>21</v>
      </c>
      <c r="E25" s="294">
        <f t="shared" si="3"/>
        <v>65</v>
      </c>
      <c r="F25" s="295">
        <f t="shared" si="4"/>
        <v>49</v>
      </c>
      <c r="G25" s="296">
        <f t="shared" si="5"/>
        <v>1012.748333</v>
      </c>
      <c r="H25" s="297">
        <f t="shared" si="6"/>
        <v>1343.441667</v>
      </c>
      <c r="I25" s="297">
        <f t="shared" si="14"/>
        <v>390</v>
      </c>
      <c r="J25" s="298">
        <f t="shared" si="7"/>
        <v>4</v>
      </c>
      <c r="K25" s="299">
        <f t="shared" si="8"/>
        <v>311</v>
      </c>
      <c r="L25" s="295">
        <f t="shared" si="9"/>
        <v>254</v>
      </c>
      <c r="M25" s="295">
        <f t="shared" si="10"/>
        <v>337</v>
      </c>
      <c r="N25" s="300">
        <f t="shared" si="11"/>
        <v>83</v>
      </c>
      <c r="O25" s="301">
        <f t="shared" si="12"/>
        <v>0.2462908012</v>
      </c>
      <c r="P25" s="296">
        <v>30.0</v>
      </c>
      <c r="Q25" s="302">
        <f t="shared" si="13"/>
        <v>10.5</v>
      </c>
      <c r="R25" s="35"/>
    </row>
    <row r="26">
      <c r="A26" s="293">
        <v>9.0</v>
      </c>
      <c r="B26" s="274" t="s">
        <v>137</v>
      </c>
      <c r="C26" s="274" t="s">
        <v>127</v>
      </c>
      <c r="D26" s="294">
        <f t="shared" si="2"/>
        <v>21</v>
      </c>
      <c r="E26" s="294">
        <f t="shared" si="3"/>
        <v>65</v>
      </c>
      <c r="F26" s="295">
        <f t="shared" si="4"/>
        <v>49</v>
      </c>
      <c r="G26" s="296">
        <f t="shared" si="5"/>
        <v>1012.748333</v>
      </c>
      <c r="H26" s="297">
        <f t="shared" si="6"/>
        <v>1343.441667</v>
      </c>
      <c r="I26" s="297">
        <f t="shared" si="14"/>
        <v>390</v>
      </c>
      <c r="J26" s="298">
        <f t="shared" si="7"/>
        <v>4</v>
      </c>
      <c r="K26" s="299">
        <f t="shared" si="8"/>
        <v>311</v>
      </c>
      <c r="L26" s="295">
        <f t="shared" si="9"/>
        <v>254</v>
      </c>
      <c r="M26" s="295">
        <f t="shared" si="10"/>
        <v>337</v>
      </c>
      <c r="N26" s="300">
        <f t="shared" si="11"/>
        <v>83</v>
      </c>
      <c r="O26" s="301">
        <f t="shared" si="12"/>
        <v>0.2462908012</v>
      </c>
      <c r="P26" s="296">
        <v>30.0</v>
      </c>
      <c r="Q26" s="302">
        <f t="shared" si="13"/>
        <v>10.5</v>
      </c>
      <c r="R26" s="35"/>
    </row>
    <row r="27">
      <c r="A27" s="293">
        <v>10.0</v>
      </c>
      <c r="B27" s="274" t="s">
        <v>138</v>
      </c>
      <c r="C27" s="274" t="s">
        <v>123</v>
      </c>
      <c r="D27" s="294">
        <f t="shared" si="2"/>
        <v>35</v>
      </c>
      <c r="E27" s="294">
        <f t="shared" si="3"/>
        <v>65</v>
      </c>
      <c r="F27" s="295">
        <f t="shared" si="4"/>
        <v>35</v>
      </c>
      <c r="G27" s="296">
        <f t="shared" si="5"/>
        <v>723.3916667</v>
      </c>
      <c r="H27" s="297">
        <f t="shared" si="6"/>
        <v>1343.441667</v>
      </c>
      <c r="I27" s="297">
        <f t="shared" si="14"/>
        <v>390</v>
      </c>
      <c r="J27" s="298">
        <f t="shared" si="7"/>
        <v>4</v>
      </c>
      <c r="K27" s="299">
        <f t="shared" si="8"/>
        <v>311</v>
      </c>
      <c r="L27" s="295">
        <f t="shared" si="9"/>
        <v>182</v>
      </c>
      <c r="M27" s="295">
        <f t="shared" si="10"/>
        <v>337</v>
      </c>
      <c r="N27" s="300">
        <f t="shared" si="11"/>
        <v>155</v>
      </c>
      <c r="O27" s="301">
        <f t="shared" si="12"/>
        <v>0.4599406528</v>
      </c>
      <c r="P27" s="296">
        <v>30.0</v>
      </c>
      <c r="Q27" s="302">
        <f t="shared" si="13"/>
        <v>17.5</v>
      </c>
      <c r="R27" s="35"/>
    </row>
    <row r="28">
      <c r="A28" s="266"/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35"/>
    </row>
    <row r="29">
      <c r="A29" s="266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303"/>
    </row>
    <row r="30">
      <c r="A30" s="266"/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>
      <c r="A32" s="304" t="s">
        <v>25</v>
      </c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2"/>
      <c r="R32" s="35"/>
    </row>
    <row r="33">
      <c r="A33" s="280" t="s">
        <v>113</v>
      </c>
      <c r="Q33" s="281"/>
      <c r="R33" s="35"/>
    </row>
    <row r="34">
      <c r="A34" s="305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5"/>
      <c r="R34" s="35"/>
    </row>
    <row r="35">
      <c r="A35" s="256" t="s">
        <v>156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8"/>
      <c r="R35" s="35"/>
    </row>
    <row r="36">
      <c r="A36" s="267" t="s">
        <v>115</v>
      </c>
      <c r="B36" s="306" t="s">
        <v>115</v>
      </c>
      <c r="C36" s="306" t="s">
        <v>116</v>
      </c>
      <c r="D36" s="307" t="s">
        <v>117</v>
      </c>
      <c r="E36" s="308" t="s">
        <v>157</v>
      </c>
      <c r="F36" s="309" t="s">
        <v>119</v>
      </c>
      <c r="G36" s="310"/>
      <c r="H36" s="310"/>
      <c r="I36" s="311"/>
      <c r="J36" s="311"/>
      <c r="K36" s="310"/>
      <c r="N36" s="310"/>
      <c r="O36" s="310"/>
      <c r="P36" s="268" t="s">
        <v>120</v>
      </c>
      <c r="Q36" s="269" t="s">
        <v>121</v>
      </c>
      <c r="R36" s="35"/>
    </row>
    <row r="37">
      <c r="A37" s="293">
        <v>1.0</v>
      </c>
      <c r="B37" s="312" t="s">
        <v>158</v>
      </c>
      <c r="C37" s="312" t="s">
        <v>127</v>
      </c>
      <c r="D37" s="313">
        <v>20.0</v>
      </c>
      <c r="E37" s="313">
        <v>5.0</v>
      </c>
      <c r="F37" s="314">
        <v>760.1</v>
      </c>
      <c r="G37" s="310"/>
      <c r="H37" s="310"/>
      <c r="I37" s="310"/>
      <c r="J37" s="310"/>
      <c r="K37" s="310"/>
      <c r="L37" s="310"/>
      <c r="M37" s="310"/>
      <c r="N37" s="310"/>
      <c r="O37" s="310"/>
      <c r="P37" s="276">
        <v>6.5</v>
      </c>
      <c r="Q37" s="277">
        <f t="shared" ref="Q37:Q45" si="15">(P50*F50)/60</f>
        <v>22.5</v>
      </c>
      <c r="R37" s="278" t="s">
        <v>128</v>
      </c>
    </row>
    <row r="38">
      <c r="A38" s="293">
        <v>2.0</v>
      </c>
      <c r="B38" s="312" t="s">
        <v>159</v>
      </c>
      <c r="C38" s="312" t="s">
        <v>160</v>
      </c>
      <c r="D38" s="313">
        <v>20.0</v>
      </c>
      <c r="E38" s="313">
        <v>5.0</v>
      </c>
      <c r="F38" s="314">
        <v>760.1</v>
      </c>
      <c r="G38" s="310"/>
      <c r="H38" s="310"/>
      <c r="I38" s="310"/>
      <c r="J38" s="310"/>
      <c r="K38" s="310"/>
      <c r="L38" s="310"/>
      <c r="M38" s="310"/>
      <c r="N38" s="310"/>
      <c r="O38" s="310"/>
      <c r="P38" s="276">
        <v>6.5</v>
      </c>
      <c r="Q38" s="277">
        <f t="shared" si="15"/>
        <v>22.5</v>
      </c>
      <c r="R38" s="278" t="s">
        <v>128</v>
      </c>
    </row>
    <row r="39">
      <c r="A39" s="293">
        <v>3.0</v>
      </c>
      <c r="B39" s="312" t="s">
        <v>161</v>
      </c>
      <c r="C39" s="312" t="s">
        <v>127</v>
      </c>
      <c r="D39" s="313">
        <v>16.0</v>
      </c>
      <c r="E39" s="313">
        <v>5.0</v>
      </c>
      <c r="F39" s="314">
        <v>760.1</v>
      </c>
      <c r="G39" s="310"/>
      <c r="H39" s="310"/>
      <c r="I39" s="310"/>
      <c r="J39" s="310"/>
      <c r="K39" s="310"/>
      <c r="M39" s="310"/>
      <c r="N39" s="310"/>
      <c r="O39" s="310"/>
      <c r="P39" s="276">
        <v>6.5</v>
      </c>
      <c r="Q39" s="277">
        <f t="shared" si="15"/>
        <v>24.5</v>
      </c>
      <c r="R39" s="278" t="s">
        <v>128</v>
      </c>
    </row>
    <row r="40">
      <c r="A40" s="293">
        <v>4.0</v>
      </c>
      <c r="B40" s="312" t="s">
        <v>162</v>
      </c>
      <c r="C40" s="312" t="s">
        <v>127</v>
      </c>
      <c r="D40" s="313">
        <v>16.0</v>
      </c>
      <c r="E40" s="313">
        <v>5.0</v>
      </c>
      <c r="F40" s="314">
        <v>760.1</v>
      </c>
      <c r="G40" s="310"/>
      <c r="H40" s="310"/>
      <c r="I40" s="310"/>
      <c r="J40" s="310"/>
      <c r="K40" s="310"/>
      <c r="M40" s="310"/>
      <c r="N40" s="310"/>
      <c r="O40" s="310"/>
      <c r="P40" s="276">
        <v>6.5</v>
      </c>
      <c r="Q40" s="277">
        <f t="shared" si="15"/>
        <v>24.5</v>
      </c>
      <c r="R40" s="278" t="s">
        <v>128</v>
      </c>
    </row>
    <row r="41">
      <c r="A41" s="293">
        <v>5.0</v>
      </c>
      <c r="B41" s="312" t="s">
        <v>163</v>
      </c>
      <c r="C41" s="312" t="s">
        <v>127</v>
      </c>
      <c r="D41" s="313">
        <v>16.0</v>
      </c>
      <c r="E41" s="313">
        <v>5.0</v>
      </c>
      <c r="F41" s="314">
        <v>760.1</v>
      </c>
      <c r="G41" s="310"/>
      <c r="H41" s="310"/>
      <c r="I41" s="310"/>
      <c r="J41" s="310"/>
      <c r="K41" s="311"/>
      <c r="L41" s="311"/>
      <c r="M41" s="310"/>
      <c r="N41" s="310"/>
      <c r="O41" s="310"/>
      <c r="P41" s="276">
        <v>6.5</v>
      </c>
      <c r="Q41" s="277">
        <f t="shared" si="15"/>
        <v>24.5</v>
      </c>
      <c r="R41" s="278" t="s">
        <v>128</v>
      </c>
    </row>
    <row r="42">
      <c r="A42" s="293">
        <v>6.0</v>
      </c>
      <c r="B42" s="312" t="s">
        <v>164</v>
      </c>
      <c r="C42" s="312" t="s">
        <v>127</v>
      </c>
      <c r="D42" s="313">
        <v>20.0</v>
      </c>
      <c r="E42" s="313">
        <v>5.0</v>
      </c>
      <c r="F42" s="314">
        <v>760.1</v>
      </c>
      <c r="G42" s="310"/>
      <c r="H42" s="310"/>
      <c r="I42" s="310"/>
      <c r="J42" s="310"/>
      <c r="K42" s="310"/>
      <c r="L42" s="311"/>
      <c r="M42" s="310"/>
      <c r="N42" s="310"/>
      <c r="O42" s="310"/>
      <c r="P42" s="276">
        <v>6.5</v>
      </c>
      <c r="Q42" s="277">
        <f t="shared" si="15"/>
        <v>22.5</v>
      </c>
      <c r="R42" s="278" t="s">
        <v>128</v>
      </c>
    </row>
    <row r="43">
      <c r="A43" s="293">
        <v>7.0</v>
      </c>
      <c r="B43" s="312" t="s">
        <v>165</v>
      </c>
      <c r="C43" s="312" t="s">
        <v>134</v>
      </c>
      <c r="D43" s="313">
        <v>60.0</v>
      </c>
      <c r="E43" s="313">
        <v>5.0</v>
      </c>
      <c r="F43" s="314">
        <v>760.1</v>
      </c>
      <c r="G43" s="310"/>
      <c r="H43" s="310"/>
      <c r="I43" s="310"/>
      <c r="J43" s="310"/>
      <c r="K43" s="310"/>
      <c r="L43" s="311"/>
      <c r="M43" s="310"/>
      <c r="N43" s="310"/>
      <c r="O43" s="310"/>
      <c r="P43" s="276">
        <v>6.5</v>
      </c>
      <c r="Q43" s="277">
        <f t="shared" si="15"/>
        <v>2.5</v>
      </c>
      <c r="R43" s="278" t="s">
        <v>135</v>
      </c>
    </row>
    <row r="44">
      <c r="A44" s="293">
        <v>8.0</v>
      </c>
      <c r="B44" s="312" t="s">
        <v>138</v>
      </c>
      <c r="C44" s="312" t="s">
        <v>160</v>
      </c>
      <c r="D44" s="313">
        <v>30.0</v>
      </c>
      <c r="E44" s="313">
        <v>5.0</v>
      </c>
      <c r="F44" s="314">
        <v>760.1</v>
      </c>
      <c r="G44" s="310"/>
      <c r="H44" s="310"/>
      <c r="I44" s="310"/>
      <c r="J44" s="310"/>
      <c r="K44" s="310"/>
      <c r="L44" s="311"/>
      <c r="M44" s="310"/>
      <c r="N44" s="310"/>
      <c r="O44" s="310"/>
      <c r="P44" s="276">
        <v>6.5</v>
      </c>
      <c r="Q44" s="277">
        <f t="shared" si="15"/>
        <v>17.5</v>
      </c>
      <c r="R44" s="278" t="s">
        <v>131</v>
      </c>
    </row>
    <row r="45">
      <c r="A45" s="315">
        <v>9.0</v>
      </c>
      <c r="B45" s="316" t="s">
        <v>166</v>
      </c>
      <c r="C45" s="316" t="s">
        <v>123</v>
      </c>
      <c r="D45" s="317">
        <v>30.0</v>
      </c>
      <c r="E45" s="317">
        <v>5.0</v>
      </c>
      <c r="F45" s="314">
        <v>760.1</v>
      </c>
      <c r="G45" s="310"/>
      <c r="H45" s="310"/>
      <c r="I45" s="310"/>
      <c r="J45" s="310"/>
      <c r="K45" s="310"/>
      <c r="L45" s="311"/>
      <c r="M45" s="310"/>
      <c r="N45" s="310"/>
      <c r="O45" s="310"/>
      <c r="P45" s="318">
        <v>6.5</v>
      </c>
      <c r="Q45" s="277">
        <f t="shared" si="15"/>
        <v>17.5</v>
      </c>
      <c r="R45" s="278" t="s">
        <v>131</v>
      </c>
    </row>
    <row r="46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5"/>
    </row>
    <row r="47">
      <c r="A47" s="280" t="s">
        <v>167</v>
      </c>
      <c r="Q47" s="281"/>
      <c r="R47" s="35"/>
    </row>
    <row r="48">
      <c r="A48" s="282" t="s">
        <v>140</v>
      </c>
      <c r="B48" s="283"/>
      <c r="C48" s="283"/>
      <c r="D48" s="283"/>
      <c r="E48" s="283"/>
      <c r="F48" s="283"/>
      <c r="G48" s="283"/>
      <c r="H48" s="283"/>
      <c r="I48" s="283"/>
      <c r="J48" s="93"/>
      <c r="K48" s="284" t="s">
        <v>141</v>
      </c>
      <c r="L48" s="3"/>
      <c r="M48" s="3"/>
      <c r="N48" s="3"/>
      <c r="O48" s="3"/>
      <c r="P48" s="3"/>
      <c r="Q48" s="4"/>
      <c r="R48" s="35"/>
    </row>
    <row r="49">
      <c r="A49" s="285" t="s">
        <v>115</v>
      </c>
      <c r="B49" s="4"/>
      <c r="C49" s="267" t="s">
        <v>116</v>
      </c>
      <c r="D49" s="267" t="s">
        <v>142</v>
      </c>
      <c r="E49" s="267" t="s">
        <v>168</v>
      </c>
      <c r="F49" s="286" t="s">
        <v>169</v>
      </c>
      <c r="G49" s="286" t="s">
        <v>170</v>
      </c>
      <c r="H49" s="287" t="s">
        <v>146</v>
      </c>
      <c r="I49" s="287" t="s">
        <v>147</v>
      </c>
      <c r="J49" s="287" t="s">
        <v>148</v>
      </c>
      <c r="K49" s="288" t="s">
        <v>171</v>
      </c>
      <c r="L49" s="289" t="s">
        <v>172</v>
      </c>
      <c r="M49" s="286" t="s">
        <v>173</v>
      </c>
      <c r="N49" s="287" t="s">
        <v>174</v>
      </c>
      <c r="O49" s="290" t="s">
        <v>175</v>
      </c>
      <c r="P49" s="291" t="s">
        <v>154</v>
      </c>
      <c r="Q49" s="292" t="s">
        <v>176</v>
      </c>
      <c r="R49" s="35"/>
    </row>
    <row r="50">
      <c r="A50" s="293">
        <v>1.0</v>
      </c>
      <c r="B50" s="279" t="s">
        <v>158</v>
      </c>
      <c r="C50" s="279" t="s">
        <v>127</v>
      </c>
      <c r="D50" s="294">
        <f t="shared" ref="D50:D58" si="16">D37+E37</f>
        <v>25</v>
      </c>
      <c r="E50" s="294">
        <f t="shared" ref="E50:E58" si="17">MAX(D$50:D$58)</f>
        <v>65</v>
      </c>
      <c r="F50" s="295">
        <f t="shared" ref="F50:F58" si="18">MAX(D$37:D$45)+E37-D37</f>
        <v>45</v>
      </c>
      <c r="G50" s="296">
        <f t="shared" ref="G50:G58" si="19">(F50*F37)/60</f>
        <v>570.075</v>
      </c>
      <c r="H50" s="297">
        <f t="shared" ref="H50:H58" si="20">(E50*F37)/60</f>
        <v>823.4416667</v>
      </c>
      <c r="I50" s="297">
        <f>P37*60</f>
        <v>390</v>
      </c>
      <c r="J50" s="298">
        <f t="shared" ref="J50:J58" si="21">ROUNDUP(H50/I50,0)</f>
        <v>3</v>
      </c>
      <c r="K50" s="299">
        <f t="shared" ref="K50:K58" si="22">ROUNDUP(F37/J50,0)</f>
        <v>254</v>
      </c>
      <c r="L50" s="295">
        <f t="shared" ref="L50:L58" si="23">ROUNDUP((F50*K50)/60,0)</f>
        <v>191</v>
      </c>
      <c r="M50" s="295">
        <f t="shared" ref="M50:M58" si="24">ROUNDUP((E50*K50)/60,0)</f>
        <v>276</v>
      </c>
      <c r="N50" s="300">
        <f t="shared" ref="N50:N58" si="25">M50-L50</f>
        <v>85</v>
      </c>
      <c r="O50" s="301">
        <f t="shared" ref="O50:O58" si="26">(N50/M50)</f>
        <v>0.3079710145</v>
      </c>
      <c r="P50" s="296">
        <v>30.0</v>
      </c>
      <c r="Q50" s="302">
        <f t="shared" ref="Q50:Q58" si="27">(P50*D50)/60</f>
        <v>12.5</v>
      </c>
      <c r="R50" s="35"/>
    </row>
    <row r="51">
      <c r="A51" s="293">
        <v>2.0</v>
      </c>
      <c r="B51" s="279" t="s">
        <v>159</v>
      </c>
      <c r="C51" s="279" t="s">
        <v>160</v>
      </c>
      <c r="D51" s="294">
        <f t="shared" si="16"/>
        <v>25</v>
      </c>
      <c r="E51" s="294">
        <f t="shared" si="17"/>
        <v>65</v>
      </c>
      <c r="F51" s="295">
        <f t="shared" si="18"/>
        <v>45</v>
      </c>
      <c r="G51" s="296">
        <f t="shared" si="19"/>
        <v>570.075</v>
      </c>
      <c r="H51" s="297">
        <f t="shared" si="20"/>
        <v>823.4416667</v>
      </c>
      <c r="I51" s="297">
        <f t="shared" ref="I51:I58" si="28">P$5*60</f>
        <v>390</v>
      </c>
      <c r="J51" s="298">
        <f t="shared" si="21"/>
        <v>3</v>
      </c>
      <c r="K51" s="299">
        <f t="shared" si="22"/>
        <v>254</v>
      </c>
      <c r="L51" s="295">
        <f t="shared" si="23"/>
        <v>191</v>
      </c>
      <c r="M51" s="295">
        <f t="shared" si="24"/>
        <v>276</v>
      </c>
      <c r="N51" s="300">
        <f t="shared" si="25"/>
        <v>85</v>
      </c>
      <c r="O51" s="301">
        <f t="shared" si="26"/>
        <v>0.3079710145</v>
      </c>
      <c r="P51" s="296">
        <v>30.0</v>
      </c>
      <c r="Q51" s="302">
        <f t="shared" si="27"/>
        <v>12.5</v>
      </c>
      <c r="R51" s="35"/>
    </row>
    <row r="52">
      <c r="A52" s="293">
        <v>3.0</v>
      </c>
      <c r="B52" s="279" t="s">
        <v>161</v>
      </c>
      <c r="C52" s="279" t="s">
        <v>127</v>
      </c>
      <c r="D52" s="294">
        <f t="shared" si="16"/>
        <v>21</v>
      </c>
      <c r="E52" s="294">
        <f t="shared" si="17"/>
        <v>65</v>
      </c>
      <c r="F52" s="295">
        <f t="shared" si="18"/>
        <v>49</v>
      </c>
      <c r="G52" s="296">
        <f t="shared" si="19"/>
        <v>620.7483333</v>
      </c>
      <c r="H52" s="297">
        <f t="shared" si="20"/>
        <v>823.4416667</v>
      </c>
      <c r="I52" s="297">
        <f t="shared" si="28"/>
        <v>390</v>
      </c>
      <c r="J52" s="298">
        <f t="shared" si="21"/>
        <v>3</v>
      </c>
      <c r="K52" s="299">
        <f t="shared" si="22"/>
        <v>254</v>
      </c>
      <c r="L52" s="295">
        <f t="shared" si="23"/>
        <v>208</v>
      </c>
      <c r="M52" s="295">
        <f t="shared" si="24"/>
        <v>276</v>
      </c>
      <c r="N52" s="300">
        <f t="shared" si="25"/>
        <v>68</v>
      </c>
      <c r="O52" s="301">
        <f t="shared" si="26"/>
        <v>0.2463768116</v>
      </c>
      <c r="P52" s="296">
        <v>30.0</v>
      </c>
      <c r="Q52" s="302">
        <f t="shared" si="27"/>
        <v>10.5</v>
      </c>
      <c r="R52" s="35"/>
    </row>
    <row r="53">
      <c r="A53" s="293">
        <v>4.0</v>
      </c>
      <c r="B53" s="279" t="s">
        <v>162</v>
      </c>
      <c r="C53" s="279" t="s">
        <v>127</v>
      </c>
      <c r="D53" s="294">
        <f t="shared" si="16"/>
        <v>21</v>
      </c>
      <c r="E53" s="294">
        <f t="shared" si="17"/>
        <v>65</v>
      </c>
      <c r="F53" s="295">
        <f t="shared" si="18"/>
        <v>49</v>
      </c>
      <c r="G53" s="296">
        <f t="shared" si="19"/>
        <v>620.7483333</v>
      </c>
      <c r="H53" s="297">
        <f t="shared" si="20"/>
        <v>823.4416667</v>
      </c>
      <c r="I53" s="297">
        <f t="shared" si="28"/>
        <v>390</v>
      </c>
      <c r="J53" s="298">
        <f t="shared" si="21"/>
        <v>3</v>
      </c>
      <c r="K53" s="299">
        <f t="shared" si="22"/>
        <v>254</v>
      </c>
      <c r="L53" s="295">
        <f t="shared" si="23"/>
        <v>208</v>
      </c>
      <c r="M53" s="295">
        <f t="shared" si="24"/>
        <v>276</v>
      </c>
      <c r="N53" s="300">
        <f t="shared" si="25"/>
        <v>68</v>
      </c>
      <c r="O53" s="301">
        <f t="shared" si="26"/>
        <v>0.2463768116</v>
      </c>
      <c r="P53" s="296">
        <v>30.0</v>
      </c>
      <c r="Q53" s="302">
        <f t="shared" si="27"/>
        <v>10.5</v>
      </c>
      <c r="R53" s="35"/>
    </row>
    <row r="54">
      <c r="A54" s="293">
        <v>5.0</v>
      </c>
      <c r="B54" s="279" t="s">
        <v>163</v>
      </c>
      <c r="C54" s="279" t="s">
        <v>127</v>
      </c>
      <c r="D54" s="294">
        <f t="shared" si="16"/>
        <v>21</v>
      </c>
      <c r="E54" s="294">
        <f t="shared" si="17"/>
        <v>65</v>
      </c>
      <c r="F54" s="295">
        <f t="shared" si="18"/>
        <v>49</v>
      </c>
      <c r="G54" s="296">
        <f t="shared" si="19"/>
        <v>620.7483333</v>
      </c>
      <c r="H54" s="297">
        <f t="shared" si="20"/>
        <v>823.4416667</v>
      </c>
      <c r="I54" s="297">
        <f t="shared" si="28"/>
        <v>390</v>
      </c>
      <c r="J54" s="298">
        <f t="shared" si="21"/>
        <v>3</v>
      </c>
      <c r="K54" s="299">
        <f t="shared" si="22"/>
        <v>254</v>
      </c>
      <c r="L54" s="295">
        <f t="shared" si="23"/>
        <v>208</v>
      </c>
      <c r="M54" s="295">
        <f t="shared" si="24"/>
        <v>276</v>
      </c>
      <c r="N54" s="300">
        <f t="shared" si="25"/>
        <v>68</v>
      </c>
      <c r="O54" s="301">
        <f t="shared" si="26"/>
        <v>0.2463768116</v>
      </c>
      <c r="P54" s="296">
        <v>30.0</v>
      </c>
      <c r="Q54" s="302">
        <f t="shared" si="27"/>
        <v>10.5</v>
      </c>
      <c r="R54" s="35"/>
    </row>
    <row r="55">
      <c r="A55" s="293">
        <v>6.0</v>
      </c>
      <c r="B55" s="279" t="s">
        <v>164</v>
      </c>
      <c r="C55" s="279" t="s">
        <v>127</v>
      </c>
      <c r="D55" s="294">
        <f t="shared" si="16"/>
        <v>25</v>
      </c>
      <c r="E55" s="294">
        <f t="shared" si="17"/>
        <v>65</v>
      </c>
      <c r="F55" s="295">
        <f t="shared" si="18"/>
        <v>45</v>
      </c>
      <c r="G55" s="296">
        <f t="shared" si="19"/>
        <v>570.075</v>
      </c>
      <c r="H55" s="297">
        <f t="shared" si="20"/>
        <v>823.4416667</v>
      </c>
      <c r="I55" s="297">
        <f t="shared" si="28"/>
        <v>390</v>
      </c>
      <c r="J55" s="298">
        <f t="shared" si="21"/>
        <v>3</v>
      </c>
      <c r="K55" s="299">
        <f t="shared" si="22"/>
        <v>254</v>
      </c>
      <c r="L55" s="295">
        <f t="shared" si="23"/>
        <v>191</v>
      </c>
      <c r="M55" s="295">
        <f t="shared" si="24"/>
        <v>276</v>
      </c>
      <c r="N55" s="300">
        <f t="shared" si="25"/>
        <v>85</v>
      </c>
      <c r="O55" s="301">
        <f t="shared" si="26"/>
        <v>0.3079710145</v>
      </c>
      <c r="P55" s="296">
        <v>30.0</v>
      </c>
      <c r="Q55" s="302">
        <f t="shared" si="27"/>
        <v>12.5</v>
      </c>
      <c r="R55" s="35"/>
    </row>
    <row r="56">
      <c r="A56" s="293">
        <v>7.0</v>
      </c>
      <c r="B56" s="279" t="s">
        <v>165</v>
      </c>
      <c r="C56" s="279" t="s">
        <v>134</v>
      </c>
      <c r="D56" s="294">
        <f t="shared" si="16"/>
        <v>65</v>
      </c>
      <c r="E56" s="294">
        <f t="shared" si="17"/>
        <v>65</v>
      </c>
      <c r="F56" s="295">
        <f t="shared" si="18"/>
        <v>5</v>
      </c>
      <c r="G56" s="296">
        <f t="shared" si="19"/>
        <v>63.34166667</v>
      </c>
      <c r="H56" s="297">
        <f t="shared" si="20"/>
        <v>823.4416667</v>
      </c>
      <c r="I56" s="297">
        <f t="shared" si="28"/>
        <v>390</v>
      </c>
      <c r="J56" s="298">
        <f t="shared" si="21"/>
        <v>3</v>
      </c>
      <c r="K56" s="299">
        <f t="shared" si="22"/>
        <v>254</v>
      </c>
      <c r="L56" s="295">
        <f t="shared" si="23"/>
        <v>22</v>
      </c>
      <c r="M56" s="295">
        <f t="shared" si="24"/>
        <v>276</v>
      </c>
      <c r="N56" s="300">
        <f t="shared" si="25"/>
        <v>254</v>
      </c>
      <c r="O56" s="301">
        <f t="shared" si="26"/>
        <v>0.9202898551</v>
      </c>
      <c r="P56" s="296">
        <v>30.0</v>
      </c>
      <c r="Q56" s="302">
        <f t="shared" si="27"/>
        <v>32.5</v>
      </c>
      <c r="R56" s="35"/>
    </row>
    <row r="57">
      <c r="A57" s="293">
        <v>8.0</v>
      </c>
      <c r="B57" s="279" t="s">
        <v>138</v>
      </c>
      <c r="C57" s="279" t="s">
        <v>160</v>
      </c>
      <c r="D57" s="294">
        <f t="shared" si="16"/>
        <v>35</v>
      </c>
      <c r="E57" s="294">
        <f t="shared" si="17"/>
        <v>65</v>
      </c>
      <c r="F57" s="295">
        <f t="shared" si="18"/>
        <v>35</v>
      </c>
      <c r="G57" s="296">
        <f t="shared" si="19"/>
        <v>443.3916667</v>
      </c>
      <c r="H57" s="297">
        <f t="shared" si="20"/>
        <v>823.4416667</v>
      </c>
      <c r="I57" s="297">
        <f t="shared" si="28"/>
        <v>390</v>
      </c>
      <c r="J57" s="298">
        <f t="shared" si="21"/>
        <v>3</v>
      </c>
      <c r="K57" s="299">
        <f t="shared" si="22"/>
        <v>254</v>
      </c>
      <c r="L57" s="295">
        <f t="shared" si="23"/>
        <v>149</v>
      </c>
      <c r="M57" s="295">
        <f t="shared" si="24"/>
        <v>276</v>
      </c>
      <c r="N57" s="300">
        <f t="shared" si="25"/>
        <v>127</v>
      </c>
      <c r="O57" s="301">
        <f t="shared" si="26"/>
        <v>0.4601449275</v>
      </c>
      <c r="P57" s="296">
        <v>30.0</v>
      </c>
      <c r="Q57" s="302">
        <f t="shared" si="27"/>
        <v>17.5</v>
      </c>
      <c r="R57" s="35"/>
    </row>
    <row r="58">
      <c r="A58" s="293">
        <v>9.0</v>
      </c>
      <c r="B58" s="279" t="s">
        <v>166</v>
      </c>
      <c r="C58" s="279" t="s">
        <v>123</v>
      </c>
      <c r="D58" s="294">
        <f t="shared" si="16"/>
        <v>35</v>
      </c>
      <c r="E58" s="294">
        <f t="shared" si="17"/>
        <v>65</v>
      </c>
      <c r="F58" s="319">
        <f t="shared" si="18"/>
        <v>35</v>
      </c>
      <c r="G58" s="296">
        <f t="shared" si="19"/>
        <v>443.3916667</v>
      </c>
      <c r="H58" s="297">
        <f t="shared" si="20"/>
        <v>823.4416667</v>
      </c>
      <c r="I58" s="320">
        <f t="shared" si="28"/>
        <v>390</v>
      </c>
      <c r="J58" s="321">
        <f t="shared" si="21"/>
        <v>3</v>
      </c>
      <c r="K58" s="322">
        <f t="shared" si="22"/>
        <v>254</v>
      </c>
      <c r="L58" s="319">
        <f t="shared" si="23"/>
        <v>149</v>
      </c>
      <c r="M58" s="319">
        <f t="shared" si="24"/>
        <v>276</v>
      </c>
      <c r="N58" s="323">
        <f t="shared" si="25"/>
        <v>127</v>
      </c>
      <c r="O58" s="324">
        <f t="shared" si="26"/>
        <v>0.4601449275</v>
      </c>
      <c r="P58" s="296">
        <v>30.0</v>
      </c>
      <c r="Q58" s="302">
        <f t="shared" si="27"/>
        <v>17.5</v>
      </c>
      <c r="R58" s="35"/>
    </row>
    <row r="59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5"/>
    </row>
    <row r="60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5"/>
    </row>
  </sheetData>
  <mergeCells count="21">
    <mergeCell ref="A1:Q1"/>
    <mergeCell ref="A2:Q2"/>
    <mergeCell ref="A3:Q3"/>
    <mergeCell ref="A4:B4"/>
    <mergeCell ref="K4:M4"/>
    <mergeCell ref="K7:L7"/>
    <mergeCell ref="K8:L8"/>
    <mergeCell ref="K36:M36"/>
    <mergeCell ref="K39:L39"/>
    <mergeCell ref="K40:L40"/>
    <mergeCell ref="A47:Q47"/>
    <mergeCell ref="A48:J48"/>
    <mergeCell ref="K48:Q48"/>
    <mergeCell ref="A49:B49"/>
    <mergeCell ref="A15:Q15"/>
    <mergeCell ref="A16:J16"/>
    <mergeCell ref="K16:Q16"/>
    <mergeCell ref="A17:B17"/>
    <mergeCell ref="A32:Q32"/>
    <mergeCell ref="A33:Q34"/>
    <mergeCell ref="A35:Q35"/>
  </mergeCells>
  <drawing r:id="rId1"/>
</worksheet>
</file>